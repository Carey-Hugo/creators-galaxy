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1"/>
  </bookViews>
  <sheets>
    <sheet name="01会议方案" sheetId="1" r:id="rId1"/>
    <sheet name="02人员分组与职责" sheetId="2" r:id="rId2"/>
  </sheets>
  <calcPr calcId="144525" calcCompleted="0" calcOnSave="0"/>
</workbook>
</file>

<file path=xl/sharedStrings.xml><?xml version="1.0" encoding="utf-8"?>
<sst xmlns="http://schemas.openxmlformats.org/spreadsheetml/2006/main" count="667">
  <si>
    <t>“愿起东方·力践未来”｜首届愿力实践共生大会会议方案与策划总表</t>
  </si>
  <si>
    <t>本表为总统筹工作底稿：蓝色为已形成的工作方向，黄色为待组委会确认或可继续填写的内容。</t>
  </si>
  <si>
    <t>一、会议基本信息</t>
  </si>
  <si>
    <t>会议名称</t>
  </si>
  <si>
    <t>“愿起东方·力践未来”——首届愿力实践共生大会</t>
  </si>
  <si>
    <t>方案版本</t>
  </si>
  <si>
    <t>V0.3｜文明定位优化稿</t>
  </si>
  <si>
    <t>会议时间</t>
  </si>
  <si>
    <t>2026年8月15日（星期六）</t>
  </si>
  <si>
    <t>会议规模</t>
  </si>
  <si>
    <t>150—200人（待场地确认）</t>
  </si>
  <si>
    <t>会议地点</t>
  </si>
  <si>
    <t>暂定：苏州·回归／英格玛集团总部</t>
  </si>
  <si>
    <t>会议形式</t>
  </si>
  <si>
    <t>线下为主；主旨演讲＋圆桌＋案例＋共创＋发布/启动</t>
  </si>
  <si>
    <t>主办方</t>
  </si>
  <si>
    <t>待组委会确认</t>
  </si>
  <si>
    <t>总统筹/总导演</t>
  </si>
  <si>
    <t>天玉</t>
  </si>
  <si>
    <t>联合举办方</t>
  </si>
  <si>
    <t>待确认：联合发起单位、协办机构、支持单位可分层填写</t>
  </si>
  <si>
    <t>当前阶段</t>
  </si>
  <si>
    <t>组委会成立／总统筹启动</t>
  </si>
  <si>
    <t>会议主旨</t>
  </si>
  <si>
    <t>面对AI加速演进所引发的人的主体性、文明方向、组织范式与价值分配等根本问题，MoWa以中华文明智慧为根，以“向内归本、向外造土”为道路，以AI向善、人机共生、群智协作、价值共生和以商载道为实践机制，建设一套面向新文明的系统解决方案。本次大会以“愿起东方·力践未来”为共同召唤，推动“愿力文明”从思想立旗走向“愿力实践”行动立旗，感召文明级同志与关键节点会师，共同显化新文明的思想、基础设施、真实样板和共建网络。</t>
  </si>
  <si>
    <t>核心关键词</t>
  </si>
  <si>
    <t>文明转向｜向内归本｜向外造土｜人机共生｜价值共生｜全球共建</t>
  </si>
  <si>
    <t>一句话定位</t>
  </si>
  <si>
    <t>一场以文明终局为尺度、以现实实践为起点的新文明共建者会师：共同回答AI时代人类何以为人、价值如何共生、新文明如何落地，并启动可持续的愿力实践共同体。</t>
  </si>
  <si>
    <t>方案确认日</t>
  </si>
  <si>
    <t>待组委会确定</t>
  </si>
  <si>
    <t>二、会议价值与意义</t>
  </si>
  <si>
    <t>价值维度</t>
  </si>
  <si>
    <t>价值与意义</t>
  </si>
  <si>
    <t>文明转向与时代价值</t>
  </si>
  <si>
    <t>直面AI高速演进带来的人的主体性危机、文明方向失序、旧组织范式失效与价值分配难题，确立以人为本、AI向善、人机共生的新文明方向，使大会成为一次文明转向的公开显化。</t>
  </si>
  <si>
    <t>东方智慧与人类价值</t>
  </si>
  <si>
    <t>以中华文明“人本、向善、大同、共富”的深层智慧回应全球性难题，推动东方智慧从文化资源转化为可验证、可参与、可复制的当代文明实践，为人类文明未来贡献中国智慧与中国方案。</t>
  </si>
  <si>
    <t>系统方案与基础设施价值</t>
  </si>
  <si>
    <t>系统呈现MoWa不是单一产品或商业项目，而是覆盖思想理论、数字与AI底座、人机共生新物种、群智协作网络、组织进化、价值记录与分配、商业入口及生态共建的新文明系统解决方案。</t>
  </si>
  <si>
    <t>实践示范与入世价值</t>
  </si>
  <si>
    <t>以“向内归本、向外造土”为道路，以“以商载道”为入世机制，把个人觉醒、企业进化、生命品牌、愿力灯塔、共学基地与实践社区串成从愿到行、从样板到规模化的完整路径。</t>
  </si>
  <si>
    <t>会师共建与组织价值</t>
  </si>
  <si>
    <t>感召并汇聚真正以人类命运为己任、具备专业能力和长期实践基础的文明级同志与关键节点，形成跨思想、技术、产业、组织、资本、媒体和地域的全球共建网络，使分散的先行者实现会师、共识、共愿与共同行动。</t>
  </si>
  <si>
    <t>MoWa里程碑价值</t>
  </si>
  <si>
    <t>完成MoWa从长期探索、内部生长走向公共叙事和社会显化的关键跃迁：从“愿力文明”思想立旗迈向“愿力实践”行动立旗，集中发布阶段成果、真实样板和共建载体，启动会后100天及更长期的新文明共建进程。</t>
  </si>
  <si>
    <t>三、会议目标</t>
  </si>
  <si>
    <t>序号</t>
  </si>
  <si>
    <t>目标</t>
  </si>
  <si>
    <t>目标说明</t>
  </si>
  <si>
    <t>目标成果</t>
  </si>
  <si>
    <t>愿力实践立旗</t>
  </si>
  <si>
    <t>形成社会公众可以理解、复述和参与的愿力实践公共表达。</t>
  </si>
  <si>
    <t>一句话定位、主张与行动语言</t>
  </si>
  <si>
    <t>愿力灯塔汇聚</t>
  </si>
  <si>
    <t>看见并连接已经真实实践、愿意长期共建的人物、企业与组织。</t>
  </si>
  <si>
    <t>灯塔/种子案例及联合发起节点</t>
  </si>
  <si>
    <t>方法与载体发布</t>
  </si>
  <si>
    <t>发布愿力实践方法、共学基地及第一步参与路径。</t>
  </si>
  <si>
    <t>方法包、共学基地立项/启动</t>
  </si>
  <si>
    <t>实践社区生根</t>
  </si>
  <si>
    <t>让参与者回到各地后能够继续学习、行动、组织与复盘。</t>
  </si>
  <si>
    <t>首批地方实践社区/小组</t>
  </si>
  <si>
    <t>生态重新组织</t>
  </si>
  <si>
    <t>更新MoWa老伙伴共识，连接新伙伴，形成大会后的持续协作网络。</t>
  </si>
  <si>
    <t>组织关系、项目入口和100天计划</t>
  </si>
  <si>
    <t>四、拟邀请参加对象</t>
  </si>
  <si>
    <t>对象层级</t>
  </si>
  <si>
    <t>主要对象</t>
  </si>
  <si>
    <t>邀请目的</t>
  </si>
  <si>
    <t>选择标准</t>
  </si>
  <si>
    <t>期待行动</t>
  </si>
  <si>
    <t>会师级节点</t>
  </si>
  <si>
    <t>文明研究者、学者、长期实践者、关键思想与资源节点</t>
  </si>
  <si>
    <t>围绕时代根问题形成高质量会师</t>
  </si>
  <si>
    <t>愿力同频、长期实践、具有专业能力与公共影响</t>
  </si>
  <si>
    <t>共同定调或长期共建</t>
  </si>
  <si>
    <t>联合发起方</t>
  </si>
  <si>
    <t>愿力型企业、机构、社区、平台及城市节点</t>
  </si>
  <si>
    <t>共同举办并承接大会后的实践</t>
  </si>
  <si>
    <t>已有0—1基础，愿投入真实资源并承担责任</t>
  </si>
  <si>
    <t>签署共同承诺/认领任务</t>
  </si>
  <si>
    <t>愿力灯塔</t>
  </si>
  <si>
    <t>已有可验证成果的人物、企业、组织、生命品牌与生态案例</t>
  </si>
  <si>
    <t>提供事实证据和可学习样板</t>
  </si>
  <si>
    <t>愿力清晰、结果真实、愿意开放经验</t>
  </si>
  <si>
    <t>案例分享/样板共建</t>
  </si>
  <si>
    <t>成长型种子</t>
  </si>
  <si>
    <t>已开始实践但尚未成熟的个人、项目、企业与社区</t>
  </si>
  <si>
    <t>进入共同体孵化为未来灯塔</t>
  </si>
  <si>
    <t>已行动、有真实问题、愿接受共同陪伴</t>
  </si>
  <si>
    <t>进入共学和100天计划</t>
  </si>
  <si>
    <t>MoWa老伙伴</t>
  </si>
  <si>
    <t>历年生态参与者、贡献者和既有节点</t>
  </si>
  <si>
    <t>更新共识、重新看见贡献并归位</t>
  </si>
  <si>
    <t>认同长期方向，愿重新连接和行动</t>
  </si>
  <si>
    <t>认领新结构中的角色</t>
  </si>
  <si>
    <t>传播与公共节点</t>
  </si>
  <si>
    <t>媒体、商协会、校友会、个人IP、研究机构</t>
  </si>
  <si>
    <t>准确传播大会核心主张与案例</t>
  </si>
  <si>
    <t>具备公信力和真实传播触达</t>
  </si>
  <si>
    <t>报道、访谈、持续传播</t>
  </si>
  <si>
    <t>普通参会者</t>
  </si>
  <si>
    <t>关注AI、成长、组织、品牌、共同富裕与共生实践的人群</t>
  </si>
  <si>
    <t>扩大真实实践者基础</t>
  </si>
  <si>
    <t>推荐＋报名＋审核；愿意会后行动</t>
  </si>
  <si>
    <t>认领第一步实践</t>
  </si>
  <si>
    <t>五、会议形式设计</t>
  </si>
  <si>
    <t>形式</t>
  </si>
  <si>
    <t>用途</t>
  </si>
  <si>
    <t>建议使用场景</t>
  </si>
  <si>
    <t>拟形成成果</t>
  </si>
  <si>
    <t>主旨演讲</t>
  </si>
  <si>
    <t>回答时代之问、说明大会立场、提出愿力实践方向。</t>
  </si>
  <si>
    <t>开幕、时代背景、愿力文明与愿力实践。</t>
  </si>
  <si>
    <t>共同语言与核心判断</t>
  </si>
  <si>
    <t>案例分享</t>
  </si>
  <si>
    <t>用真实人物、企业、组织、社区和品牌证明愿力实践正在发生。</t>
  </si>
  <si>
    <t>个人成长、组织进化、生命品牌、价值共生。</t>
  </si>
  <si>
    <t>案例证据与可学习路径</t>
  </si>
  <si>
    <t>圆桌对话</t>
  </si>
  <si>
    <t>围绕尚未解决的关键问题展开多视角讨论。</t>
  </si>
  <si>
    <t>AI与人、组织进化、共同富裕、价值分配。</t>
  </si>
  <si>
    <t>问题清单与阶段判断</t>
  </si>
  <si>
    <t>共创工作坊</t>
  </si>
  <si>
    <t>让参与者从听会转为行动，形成现场共创成果。</t>
  </si>
  <si>
    <t>愿力实践第一步、城市社区、联合发起。</t>
  </si>
  <si>
    <t>行动认领与共建方案</t>
  </si>
  <si>
    <t>发布/启动</t>
  </si>
  <si>
    <t>发布方法、共学基地、实践社区、联合发起结构。</t>
  </si>
  <si>
    <t>大会关键节点。</t>
  </si>
  <si>
    <t>正式发布文件与首批名单</t>
  </si>
  <si>
    <t>宣言共读</t>
  </si>
  <si>
    <t>形成精神共同体与大会仪式感。</t>
  </si>
  <si>
    <t>闭幕或关键转折环节。</t>
  </si>
  <si>
    <t>共同愿力确认</t>
  </si>
  <si>
    <t>签约/共同承诺</t>
  </si>
  <si>
    <t>把共识转化为责任、项目和会后行动。</t>
  </si>
  <si>
    <t>联合发起、样板、共学基地、社区启动。</t>
  </si>
  <si>
    <t>责任人、项目与时间表</t>
  </si>
  <si>
    <t>展陈/生态看板</t>
  </si>
  <si>
    <t>让参会者看见真实节点、案例、资源、供需与参与入口。</t>
  </si>
  <si>
    <t>会场公共区域及会后线上承接。</t>
  </si>
  <si>
    <t>可持续更新的生态数据</t>
  </si>
  <si>
    <t>六、会议议程（两天建议版，可按最终会期合并）</t>
  </si>
  <si>
    <t>日期/时段</t>
  </si>
  <si>
    <t>议程模块</t>
  </si>
  <si>
    <t>核心内容</t>
  </si>
  <si>
    <t>主要形式</t>
  </si>
  <si>
    <t>拟邀请/责任人</t>
  </si>
  <si>
    <t>状态</t>
  </si>
  <si>
    <t>第一天上午</t>
  </si>
  <si>
    <t>开幕与大会定盘</t>
  </si>
  <si>
    <t>开场、主办方致辞、大会缘起、会议目标与成功标准。</t>
  </si>
  <si>
    <t>主持＋致辞＋发布</t>
  </si>
  <si>
    <t>待确认</t>
  </si>
  <si>
    <t>待定</t>
  </si>
  <si>
    <t>时代之问</t>
  </si>
  <si>
    <t>AI时代的能力、方向、信任、组织与价值分配问题。</t>
  </si>
  <si>
    <t>王慧中老师/明哥等（待确认）</t>
  </si>
  <si>
    <t>愿力文明与愿力实践</t>
  </si>
  <si>
    <t>从方向旗到行动旗；愿力实践共同体的提出。</t>
  </si>
  <si>
    <t>主旨＋对话</t>
  </si>
  <si>
    <t>天玉/明哥等（待确认）</t>
  </si>
  <si>
    <t>第一天下午</t>
  </si>
  <si>
    <t>个人成长与人机共生</t>
  </si>
  <si>
    <t>愿力心门、智慧教练、启愿师与人的觉醒成长。</t>
  </si>
  <si>
    <t>案例＋体验＋圆桌</t>
  </si>
  <si>
    <t>内容组拟定</t>
  </si>
  <si>
    <t>组织进化</t>
  </si>
  <si>
    <t>愿力实践型组织、量子管理与企业真实问题。</t>
  </si>
  <si>
    <t>主旨＋案例＋圆桌</t>
  </si>
  <si>
    <t>王慧中老师及企业案例</t>
  </si>
  <si>
    <t>生命品牌与新增长</t>
  </si>
  <si>
    <t>愿力外显、品牌共建、产业孵化与以商载道。</t>
  </si>
  <si>
    <t>案例＋发布</t>
  </si>
  <si>
    <t>第一天晚上</t>
  </si>
  <si>
    <t>联合发起人共识会</t>
  </si>
  <si>
    <t>关键节点深度交流、共同承诺、资源与任务认领。</t>
  </si>
  <si>
    <t>闭门共创/晚宴</t>
  </si>
  <si>
    <t>组委会＋外联组</t>
  </si>
  <si>
    <t>第二天上午</t>
  </si>
  <si>
    <t>价值共生与共同富裕</t>
  </si>
  <si>
    <t>贡献记录、价值评价、分配与回流的实践探索。</t>
  </si>
  <si>
    <t>明哥/王慧中老师等</t>
  </si>
  <si>
    <t>实践样板</t>
  </si>
  <si>
    <t>愿力灯塔、成长型种子、生命花园、实践社区等样板。</t>
  </si>
  <si>
    <t>案例路演＋点评</t>
  </si>
  <si>
    <t>首批样板负责人</t>
  </si>
  <si>
    <t>第二天下午</t>
  </si>
  <si>
    <t>愿力实践共学基地</t>
  </si>
  <si>
    <t>战略定位、培养体系、实践入口与复制机制。</t>
  </si>
  <si>
    <t>发布＋启动＋共创</t>
  </si>
  <si>
    <t>共学基地组</t>
  </si>
  <si>
    <t>行动认领与共同承诺</t>
  </si>
  <si>
    <t>联合发起、城市社区、样板项目和100天计划。</t>
  </si>
  <si>
    <t>签约/承诺/认领</t>
  </si>
  <si>
    <t>总统筹＋各组</t>
  </si>
  <si>
    <t>闭幕与愿力确认</t>
  </si>
  <si>
    <t>成果发布、宣言共读、下一步行动与闭幕。</t>
  </si>
  <si>
    <t>成果发布＋仪式</t>
  </si>
  <si>
    <t>主持人/组委会</t>
  </si>
  <si>
    <t>七、拟达成会议成果（成功标准）</t>
  </si>
  <si>
    <t>成果维度</t>
  </si>
  <si>
    <t>拟达成成果</t>
  </si>
  <si>
    <t>衡量/验收标准</t>
  </si>
  <si>
    <t>责任归口</t>
  </si>
  <si>
    <t>共同语言</t>
  </si>
  <si>
    <t>形成一句话定位、核心主张和可传播的愿力实践表达。</t>
  </si>
  <si>
    <t>建议：80%以上参会者可用自己的语言复述。</t>
  </si>
  <si>
    <t>组委会/内容组</t>
  </si>
  <si>
    <t>联合发起</t>
  </si>
  <si>
    <t>形成真实承担长期共建责任的联合发起节点。</t>
  </si>
  <si>
    <t>建议：不少于10个真实节点；均有邀请理由和后续任务。</t>
  </si>
  <si>
    <t>组委会/外联组</t>
  </si>
  <si>
    <t>灯塔与样板</t>
  </si>
  <si>
    <t>形成可展示、可验证、可学习的愿力实践案例。</t>
  </si>
  <si>
    <t>建议：不少于3个证据完整的成熟样板，并形成种子案例池。</t>
  </si>
  <si>
    <t>内容组/案例组</t>
  </si>
  <si>
    <t>方法发布</t>
  </si>
  <si>
    <t>形成愿力实践方法及参与者第一步行动路径。</t>
  </si>
  <si>
    <t>有正式材料、现场讲解和会后可使用的行动包。</t>
  </si>
  <si>
    <t>内容组/共学基地组</t>
  </si>
  <si>
    <t>载体启动</t>
  </si>
  <si>
    <t>启动共学基地及首批地方实践社区/小组。</t>
  </si>
  <si>
    <t>明确发起人、场域、首期计划、时间和承接方式。</t>
  </si>
  <si>
    <t>共学基地/会后跟进组</t>
  </si>
  <si>
    <t>行动认领</t>
  </si>
  <si>
    <t>参会者离场前认领具体行动，而不只表达认同。</t>
  </si>
  <si>
    <t>建议：80%以上形成第一步行动；责任、时间、支持明确。</t>
  </si>
  <si>
    <t>主持/会后跟进组</t>
  </si>
  <si>
    <t>传播成果</t>
  </si>
  <si>
    <t>形成会前、会中、会后的连续公共传播。</t>
  </si>
  <si>
    <t>新闻稿、影像、案例、媒体报道及数据复盘完整。</t>
  </si>
  <si>
    <t>媒体宣传组</t>
  </si>
  <si>
    <t>会后100天</t>
  </si>
  <si>
    <t>大会后持续跟进共学、社区、项目、贡献与价值回流。</t>
  </si>
  <si>
    <t>有100天总计划、月度复盘、责任人和成果记录。</t>
  </si>
  <si>
    <t>会后跟进组/总统筹</t>
  </si>
  <si>
    <t>八、主办与联合举办单位（待填充）</t>
  </si>
  <si>
    <t>单位层级</t>
  </si>
  <si>
    <t>单位/机构名称</t>
  </si>
  <si>
    <t>联系人</t>
  </si>
  <si>
    <t>拟承担职责</t>
  </si>
  <si>
    <t>确认状态</t>
  </si>
  <si>
    <t/>
  </si>
  <si>
    <t>联合主办方</t>
  </si>
  <si>
    <t>承办方</t>
  </si>
  <si>
    <t>协办方</t>
  </si>
  <si>
    <t>支持单位</t>
  </si>
  <si>
    <t>学术支持</t>
  </si>
  <si>
    <t>媒体支持</t>
  </si>
  <si>
    <t>场地支持</t>
  </si>
  <si>
    <t>其他</t>
  </si>
  <si>
    <t>九、待组委会决策事项</t>
  </si>
  <si>
    <t>决策事项</t>
  </si>
  <si>
    <t>需回答的问题/备选方案</t>
  </si>
  <si>
    <t>决策人</t>
  </si>
  <si>
    <t>完成时间</t>
  </si>
  <si>
    <t>大会正式名称</t>
  </si>
  <si>
    <t>是否使用“愿力中国”；备选名称是什么</t>
  </si>
  <si>
    <t>组委会</t>
  </si>
  <si>
    <t>日期与会期</t>
  </si>
  <si>
    <t>8月15/16；一天、一天半或两天</t>
  </si>
  <si>
    <t>场地与规模</t>
  </si>
  <si>
    <t>苏州回归是否锁定；150—200人的承载方案</t>
  </si>
  <si>
    <t>组委会/会务组</t>
  </si>
  <si>
    <t>收费与预算</t>
  </si>
  <si>
    <t>免费/收费/分层；预算上限、资金来源</t>
  </si>
  <si>
    <t>组委会/财务合规组</t>
  </si>
  <si>
    <t>主办主体与联合举办方</t>
  </si>
  <si>
    <t>合同主体、主办/承办/协办/支持关系</t>
  </si>
  <si>
    <t>成功标准最终数值</t>
  </si>
  <si>
    <t>10个节点、3个样板、80%复述/行动是否确认</t>
  </si>
  <si>
    <t>组长副组长名单</t>
  </si>
  <si>
    <t>各工作组人选、权限与支持资源</t>
  </si>
  <si>
    <t>总统筹提案/组委会确认</t>
  </si>
  <si>
    <t>大会后承接</t>
  </si>
  <si>
    <t>共学基地、实践社区和100天计划由谁负责</t>
  </si>
  <si>
    <t>愿力实践共生大会｜人员分组与职责分工总表</t>
  </si>
  <si>
    <t>大会固定日期：2026年8月15日。本版以2026年7月19日为倒排起点；交付时间为该任务最迟验收日，需预留内部修改时间。</t>
  </si>
  <si>
    <t>有效任务</t>
  </si>
  <si>
    <t>已定交付时间</t>
  </si>
  <si>
    <t>已完成</t>
  </si>
  <si>
    <t>平均进度</t>
  </si>
  <si>
    <t>跟进规则：按最迟验收日倒排内部交付；逾期未完成的任务当天升级总统筹。</t>
  </si>
  <si>
    <t>倒排里程碑：7/20—7/24 定盘与归位｜7/25—7/31 邀约启动与首批确认｜8/1—8/8 内容、设计、会务成型｜8/9—8/12 锁稿联调｜8/13—8/14 验收彩排｜8/15 大会｜8/16—11/23 会后100天</t>
  </si>
  <si>
    <t>组织/工作组</t>
  </si>
  <si>
    <t>细分职责/任务</t>
  </si>
  <si>
    <t>主责人</t>
  </si>
  <si>
    <t>协作人</t>
  </si>
  <si>
    <t>交付成果</t>
  </si>
  <si>
    <t>交付时间</t>
  </si>
  <si>
    <t>完成进度</t>
  </si>
  <si>
    <t>优先级</t>
  </si>
  <si>
    <t>前置依赖/需支持</t>
  </si>
  <si>
    <t>验收标准</t>
  </si>
  <si>
    <t>备注</t>
  </si>
  <si>
    <t>确定大会方向、定位与核心主张</t>
  </si>
  <si>
    <t>核心组委会（待正式确认）</t>
  </si>
  <si>
    <t>总统筹/内容组</t>
  </si>
  <si>
    <t>大会定位与核心主张决议</t>
  </si>
  <si>
    <t>未开始</t>
  </si>
  <si>
    <t>P0</t>
  </si>
  <si>
    <t>定位、目标和主线一致，可对外发布</t>
  </si>
  <si>
    <t>确定大会名称、时间、地点、会期与规模</t>
  </si>
  <si>
    <t>总统筹/会务组</t>
  </si>
  <si>
    <t>大会基础信息书面决议</t>
  </si>
  <si>
    <t>全部基础参数明确，并设有备选方案</t>
  </si>
  <si>
    <t>审定会议方案、议程与成功标准</t>
  </si>
  <si>
    <t>正式会议方案V1.0</t>
  </si>
  <si>
    <t>议程服务目标，成功标准可衡量</t>
  </si>
  <si>
    <t>审定主办方、联合举办方与关键合作关系</t>
  </si>
  <si>
    <t>外联组/财务合规组</t>
  </si>
  <si>
    <t>举办单位清单与合作边界</t>
  </si>
  <si>
    <t>各方职责、权益、署名和合规明确</t>
  </si>
  <si>
    <t>审定会师级节点、联合发起方与重要嘉宾</t>
  </si>
  <si>
    <t>明哥/外联邀约组</t>
  </si>
  <si>
    <t>重点邀约名单与邀请理由</t>
  </si>
  <si>
    <t>重点对象均有关系人和沟通策略</t>
  </si>
  <si>
    <t>处理重大风险、资源冲突与跨组决策</t>
  </si>
  <si>
    <t>总统筹/相关组长</t>
  </si>
  <si>
    <t>决策记录与处理方案</t>
  </si>
  <si>
    <t>重大事项24小时内形成结论</t>
  </si>
  <si>
    <t>持续任务；重大事项出现后24小时内形成决策</t>
  </si>
  <si>
    <t>进行大会前最终验收</t>
  </si>
  <si>
    <t>总统筹/各组长</t>
  </si>
  <si>
    <t>最终验收清单</t>
  </si>
  <si>
    <t>内容、嘉宾、传播、会务、财务合规、应急均通过</t>
  </si>
  <si>
    <t>补充任务（空白）</t>
  </si>
  <si>
    <t>总统筹</t>
  </si>
  <si>
    <t>建立大会总体方案与总任务结构</t>
  </si>
  <si>
    <t>组委会/各组长</t>
  </si>
  <si>
    <t>会议方案＋工作分解总表</t>
  </si>
  <si>
    <t>覆盖会前、会中、会后所有关键任务</t>
  </si>
  <si>
    <t>提出工作组架构及组长、副组长建议</t>
  </si>
  <si>
    <t>组委会/明哥/杨靖</t>
  </si>
  <si>
    <t>组织架构与人员建议名单</t>
  </si>
  <si>
    <t>每组一主一副，均完成本人确认</t>
  </si>
  <si>
    <t>统一任务、时间、依赖与验收标准</t>
  </si>
  <si>
    <t>各组长</t>
  </si>
  <si>
    <t>总排期与周交付清单</t>
  </si>
  <si>
    <t>所有P0任务责任到人、时间明确</t>
  </si>
  <si>
    <t>组织总统筹协调会和跨组同步</t>
  </si>
  <si>
    <t>各组长副组长</t>
  </si>
  <si>
    <t>会议纪要、决定与周承诺</t>
  </si>
  <si>
    <t>每次会议形成决定、责任人、日期和验收</t>
  </si>
  <si>
    <t>每周一、四固定协调；8月10日起每日15分钟短会</t>
  </si>
  <si>
    <t>跟进各组进度并推动问题闭环</t>
  </si>
  <si>
    <t>进度更新与问题清单</t>
  </si>
  <si>
    <t>不以“正在推进”代替证据和成果</t>
  </si>
  <si>
    <t>每周更新；8月10日起每日更新任务与问题清单</t>
  </si>
  <si>
    <t>识别并升级重大风险和决策请求</t>
  </si>
  <si>
    <t>组委会/相关负责人</t>
  </si>
  <si>
    <t>风险升级单与决策请求</t>
  </si>
  <si>
    <t>P0风险出现后24小时内升级</t>
  </si>
  <si>
    <t>持续任务；P0风险出现后24小时内升级</t>
  </si>
  <si>
    <t>整合各组最终交付，组织彩排与验收</t>
  </si>
  <si>
    <t>主持人/各组长</t>
  </si>
  <si>
    <t>大会整合版资料与彩排整改表</t>
  </si>
  <si>
    <t>全流程可按分钟顺利运行</t>
  </si>
  <si>
    <t>承担大会现场总控与临场协调</t>
  </si>
  <si>
    <t>会务执行组/主持人</t>
  </si>
  <si>
    <t>现场总控表与通讯录</t>
  </si>
  <si>
    <t>现场信息统一、指令清晰、异常及时处置</t>
  </si>
  <si>
    <t>8月15日现场全程总控</t>
  </si>
  <si>
    <t>主持人</t>
  </si>
  <si>
    <t>理解大会定位、目标、嘉宾和全部议程</t>
  </si>
  <si>
    <t>主持人研读确认表</t>
  </si>
  <si>
    <t>能够准确复述大会核心主张</t>
  </si>
  <si>
    <t>编写主持词、串场词和嘉宾介绍</t>
  </si>
  <si>
    <t>内容组/媒体组</t>
  </si>
  <si>
    <t>完整主持稿</t>
  </si>
  <si>
    <t>语言准确、节奏自然、无事实与身份错误</t>
  </si>
  <si>
    <t>设计开场、转场、互动、收束和闭幕</t>
  </si>
  <si>
    <t>内容组/总统筹</t>
  </si>
  <si>
    <t>主持流程卡</t>
  </si>
  <si>
    <t>P1</t>
  </si>
  <si>
    <t>每个环节有明确目的和转场语言</t>
  </si>
  <si>
    <t>控制现场时间与发言节奏</t>
  </si>
  <si>
    <t>会务执行组</t>
  </si>
  <si>
    <t>计时规则与提醒机制</t>
  </si>
  <si>
    <t>整体议程偏差控制在批准范围内</t>
  </si>
  <si>
    <t>8月15日现场执行</t>
  </si>
  <si>
    <t>准备嘉宾缺席、超时、冷场等应急话术</t>
  </si>
  <si>
    <t>主持应急预案</t>
  </si>
  <si>
    <t>主要异常场景均有替代方案</t>
  </si>
  <si>
    <t>参加内容对稿与全流程彩排</t>
  </si>
  <si>
    <t>内容组/会务组</t>
  </si>
  <si>
    <t>对稿修改稿和演练记录</t>
  </si>
  <si>
    <t>完成至少两次完整彩排</t>
  </si>
  <si>
    <t>8月9日第一次、8月14日第二次全流程彩排</t>
  </si>
  <si>
    <t>内容组</t>
  </si>
  <si>
    <t>定稿大会定位、主旨和核心叙事</t>
  </si>
  <si>
    <t>内容组组长待确认</t>
  </si>
  <si>
    <t>天玉/明哥/王老师/组委会</t>
  </si>
  <si>
    <t>大会内容总纲</t>
  </si>
  <si>
    <t>形成清晰的时代之问—实践回答—行动邀请</t>
  </si>
  <si>
    <t>设计会议议程、板块与内容逻辑</t>
  </si>
  <si>
    <t>总统筹/主持人</t>
  </si>
  <si>
    <t>会议议程V1.0</t>
  </si>
  <si>
    <t>各板块围绕会议目标且时间可执行</t>
  </si>
  <si>
    <t>确定议题、发言人、圆桌问题与形式</t>
  </si>
  <si>
    <t>外联邀约组/主持人</t>
  </si>
  <si>
    <t>议题与发言人匹配表</t>
  </si>
  <si>
    <t>每位发言人有明确任务而非泛泛分享</t>
  </si>
  <si>
    <t>形成发言人邀请说明与内容任务书</t>
  </si>
  <si>
    <t>外联邀约组</t>
  </si>
  <si>
    <t>发言任务书/邀约附件</t>
  </si>
  <si>
    <t>目标、时长、重点、禁区和交付明确</t>
  </si>
  <si>
    <t>收集、修改和审核演讲稿/PPT</t>
  </si>
  <si>
    <t>发言人/外化设计组</t>
  </si>
  <si>
    <t>审核后的演讲稿和PPT</t>
  </si>
  <si>
    <t>内容准确、结构一致、避免重复和夸大</t>
  </si>
  <si>
    <t>8月5日收齐初稿，8月9日完成审核</t>
  </si>
  <si>
    <t>筛选愿力灯塔与实践样板</t>
  </si>
  <si>
    <t>相关实践者/组委会</t>
  </si>
  <si>
    <t>案例证据卡与展示材料</t>
  </si>
  <si>
    <t>至少3个案例可核验、可讲述、可学习</t>
  </si>
  <si>
    <t>设计圆桌、共创、发布、承诺和宣言环节</t>
  </si>
  <si>
    <t>主持人/总统筹/会后跟进组</t>
  </si>
  <si>
    <t>环节脚本与成果模板</t>
  </si>
  <si>
    <t>每个互动环节都有明确产出</t>
  </si>
  <si>
    <t>形成大会一页纸、手册和会后成果文本</t>
  </si>
  <si>
    <t>外化设计组/媒体组</t>
  </si>
  <si>
    <t>大会一页纸、会议手册、成果摘要</t>
  </si>
  <si>
    <t>不同受众均能听懂并知道如何参与</t>
  </si>
  <si>
    <t>完成所有内容的最终合稿与版本管理</t>
  </si>
  <si>
    <t>内容总包与版本目录</t>
  </si>
  <si>
    <t>现场只使用唯一锁定版本</t>
  </si>
  <si>
    <t>8月12日锁定唯一现场版本</t>
  </si>
  <si>
    <t>外化设计组</t>
  </si>
  <si>
    <t>建立大会视觉方向与主视觉</t>
  </si>
  <si>
    <t>外化设计组长待确认</t>
  </si>
  <si>
    <t>主视觉与视觉规范</t>
  </si>
  <si>
    <t>视觉能表达愿力实践与共生气质</t>
  </si>
  <si>
    <t>设计大会LOGO/标题字/色彩/字体规范</t>
  </si>
  <si>
    <t>视觉识别基础规范</t>
  </si>
  <si>
    <t>线上线下视觉统一、可持续使用</t>
  </si>
  <si>
    <t>制作邀请函、海报、长图和报名页视觉</t>
  </si>
  <si>
    <t>外联组/媒体组</t>
  </si>
  <si>
    <t>传播视觉物料包</t>
  </si>
  <si>
    <t>尺寸齐全、信息准确、按传播节奏交付</t>
  </si>
  <si>
    <t>制作PPT母版、演讲模板和圆桌背景</t>
  </si>
  <si>
    <t>PPT模板与页面组件</t>
  </si>
  <si>
    <t>所有发言材料视觉统一</t>
  </si>
  <si>
    <t>设计舞台主屏、侧屏、签到处和导视</t>
  </si>
  <si>
    <t>现场空间视觉方案</t>
  </si>
  <si>
    <t>现场动线清晰、关键信息可见</t>
  </si>
  <si>
    <t>设计会议手册、胸牌、桌牌、证书等印刷品</t>
  </si>
  <si>
    <t>会务组/内容组</t>
  </si>
  <si>
    <t>印刷文件包</t>
  </si>
  <si>
    <t>文字、姓名、单位、二维码全部校对</t>
  </si>
  <si>
    <t>8月8日定稿送印，8月12日到货验收</t>
  </si>
  <si>
    <t>设计案例展陈与生态看板</t>
  </si>
  <si>
    <t>内容组/执行组</t>
  </si>
  <si>
    <t>展板/屏幕展示文件</t>
  </si>
  <si>
    <t>案例真实、层次清楚、便于参观与连接</t>
  </si>
  <si>
    <t>管理源文件、输出规范和印前校验</t>
  </si>
  <si>
    <t>媒体组/会务组</t>
  </si>
  <si>
    <t>源文件目录与输出清单</t>
  </si>
  <si>
    <t>文件命名统一、分辨率和色彩符合制作要求</t>
  </si>
  <si>
    <t>建立会师级、联合发起、灯塔、传播节点和普通嘉宾分层标准</t>
  </si>
  <si>
    <t>外联邀约组长待确认</t>
  </si>
  <si>
    <t>组委会/明哥/内容组</t>
  </si>
  <si>
    <t>邀约分层标准</t>
  </si>
  <si>
    <t>每一层对象、邀请理由与会后关系清楚</t>
  </si>
  <si>
    <t>建立拟邀对象池和关系人地图</t>
  </si>
  <si>
    <t>明哥/王老师/熊姐姐/核心伙伴</t>
  </si>
  <si>
    <t>邀约对象总表</t>
  </si>
  <si>
    <t>每个对象有关系人、主责人和下一步</t>
  </si>
  <si>
    <t>形成邀请函、口径和差异化邀请理由</t>
  </si>
  <si>
    <t>内容组/外化设计组</t>
  </si>
  <si>
    <t>邀约工具包</t>
  </si>
  <si>
    <t>不同层级对象收到匹配的邀请材料</t>
  </si>
  <si>
    <t>完成重点嘉宾一对一沟通与确认</t>
  </si>
  <si>
    <t>明哥（关键节点）/外联组</t>
  </si>
  <si>
    <t>组委会/关系人</t>
  </si>
  <si>
    <t>沟通记录与确认清单</t>
  </si>
  <si>
    <t>重点嘉宾明确角色、时间和内容任务</t>
  </si>
  <si>
    <t>7月25日完成首轮沟通，7月31日锁定重点嘉宾</t>
  </si>
  <si>
    <t>完成联合举办方和支持单位沟通</t>
  </si>
  <si>
    <t>合作意向与职责清单</t>
  </si>
  <si>
    <t>权益、责任、署名和资源投入明确</t>
  </si>
  <si>
    <t>收集嘉宾信息、简介、照片、行程和特殊需求</t>
  </si>
  <si>
    <t>主持人/媒体组/后勤组</t>
  </si>
  <si>
    <t>嘉宾资料包</t>
  </si>
  <si>
    <t>资料完整准确并按权限使用</t>
  </si>
  <si>
    <t>管理确认、婉拒、待定和候补名单</t>
  </si>
  <si>
    <t>邀约状态表与替补方案</t>
  </si>
  <si>
    <t>关键席位均有备选对象</t>
  </si>
  <si>
    <t>完成会前提醒、到场确认和会后感谢</t>
  </si>
  <si>
    <t>后勤组/会后跟进组</t>
  </si>
  <si>
    <t>通知与感谢记录</t>
  </si>
  <si>
    <t>重要对象全流程有人负责</t>
  </si>
  <si>
    <t>8月14日到场确认，8月16日完成会后感谢</t>
  </si>
  <si>
    <t>制定大会整体传播策略与阶段节奏</t>
  </si>
  <si>
    <t>媒体宣传组长待确认</t>
  </si>
  <si>
    <t>组委会/内容组/总统筹</t>
  </si>
  <si>
    <t>传播方案与内容日历</t>
  </si>
  <si>
    <t>会前预热、会中传播、会后成果连续衔接</t>
  </si>
  <si>
    <t>明确目标受众、核心信息和传播口径</t>
  </si>
  <si>
    <t>传播信息矩阵</t>
  </si>
  <si>
    <t>不同渠道表达一致且主流可懂</t>
  </si>
  <si>
    <t>建立媒体、平台、自媒体与合作渠道清单</t>
  </si>
  <si>
    <t>外联组</t>
  </si>
  <si>
    <t>媒体渠道表</t>
  </si>
  <si>
    <t>每个渠道有联系人、内容和发布时间</t>
  </si>
  <si>
    <t>制作新闻稿、人物稿、案例稿和短内容</t>
  </si>
  <si>
    <t>媒体内容包</t>
  </si>
  <si>
    <t>事实准确、表述合规、适合发布</t>
  </si>
  <si>
    <t>运营公众号、视频号、社群等自有渠道</t>
  </si>
  <si>
    <t>连续发布记录</t>
  </si>
  <si>
    <t>按内容日历稳定输出并形成报名转化</t>
  </si>
  <si>
    <t>7月26日起持续发布，8月15日完成会中传播</t>
  </si>
  <si>
    <t>组织会前访谈、会中采访与媒体接待</t>
  </si>
  <si>
    <t>外联组/会务组</t>
  </si>
  <si>
    <t>采访提纲与媒体接待表</t>
  </si>
  <si>
    <t>重点内容被准确提炼与传播</t>
  </si>
  <si>
    <t>会前访谈8月12日前完成；会中采访8月15日执行</t>
  </si>
  <si>
    <t>统筹摄影、摄像、直播与素材归档</t>
  </si>
  <si>
    <t>影像执行方案与素材库</t>
  </si>
  <si>
    <t>关键环节完整记录、文件可检索</t>
  </si>
  <si>
    <t>8月12日完成方案与排班，8月15日完成现场执行</t>
  </si>
  <si>
    <t>完成会后报道、成果传播和数据复盘</t>
  </si>
  <si>
    <t>会后跟进组/内容组</t>
  </si>
  <si>
    <t>会后传播包与数据报告</t>
  </si>
  <si>
    <t>会后7天形成完整成果传播</t>
  </si>
  <si>
    <t>确认场地条件、合同、容量与使用时间</t>
  </si>
  <si>
    <t>会务执行组长</t>
  </si>
  <si>
    <t>总统筹/财务合规组</t>
  </si>
  <si>
    <t>场地确认文件</t>
  </si>
  <si>
    <t>主方案与备选场地均明确</t>
  </si>
  <si>
    <t>设计会场布局、舞台、座位和动线</t>
  </si>
  <si>
    <t>外化设计组/后勤组</t>
  </si>
  <si>
    <t>会场平面图与动线图</t>
  </si>
  <si>
    <t>签到、候场、参会、交流与撤场顺畅</t>
  </si>
  <si>
    <t>确定灯光、音响、投影、直播和网络设备</t>
  </si>
  <si>
    <t>媒体组/供应商</t>
  </si>
  <si>
    <t>设备清单与技术方案</t>
  </si>
  <si>
    <t>所有关键设备完成测试并有备份</t>
  </si>
  <si>
    <t>制作分钟级Run of Show执行表</t>
  </si>
  <si>
    <t>总统筹/主持人/内容组</t>
  </si>
  <si>
    <t>现场执行总表</t>
  </si>
  <si>
    <t>每个时间点、责任人和信号清楚</t>
  </si>
  <si>
    <t>组织报名签到、胸牌、座位和现场接待</t>
  </si>
  <si>
    <t>外联组/后勤组</t>
  </si>
  <si>
    <t>签到与座位方案</t>
  </si>
  <si>
    <t>人员数据准确、现场等待时间可控</t>
  </si>
  <si>
    <t>8月10日形成座位方案，8月14日按最终名单校准</t>
  </si>
  <si>
    <t>统筹现场物料、礼仪、志愿者和工作人员</t>
  </si>
  <si>
    <t>人员排班与物料清单</t>
  </si>
  <si>
    <t>岗位不空缺，物料数量和位置准确</t>
  </si>
  <si>
    <t>组织技术联调、内容对稿和全流程彩排</t>
  </si>
  <si>
    <t>总统筹/主持人/所有组</t>
  </si>
  <si>
    <t>彩排记录与整改表</t>
  </si>
  <si>
    <t>完成至少两次彩排，P0问题闭环</t>
  </si>
  <si>
    <t>8月9日、8月14日各完成一次全流程彩排</t>
  </si>
  <si>
    <t>制定现场应急、消防、疏散和备用方案</t>
  </si>
  <si>
    <t>场地方/后勤组/合规组</t>
  </si>
  <si>
    <t>现场应急预案</t>
  </si>
  <si>
    <t>关键风险均有责任人和备用措施</t>
  </si>
  <si>
    <t>完成撤场、物料回收和现场复盘</t>
  </si>
  <si>
    <t>各执行组</t>
  </si>
  <si>
    <t>撤场清单与现场复盘</t>
  </si>
  <si>
    <t>场地完整交还，重要物料和数据归档</t>
  </si>
  <si>
    <t>8月15日撤场，8月16日完成现场复盘</t>
  </si>
  <si>
    <t>后勤保障组</t>
  </si>
  <si>
    <t>调研并确认嘉宾和参会者住宿方案</t>
  </si>
  <si>
    <t>后勤保障组长待确认</t>
  </si>
  <si>
    <t>酒店清单、价格和预留房</t>
  </si>
  <si>
    <t>交通便利、容量充足、取消规则明确</t>
  </si>
  <si>
    <t>设计餐饮、茶歇和特殊饮食方案</t>
  </si>
  <si>
    <t>场地方/财务组</t>
  </si>
  <si>
    <t>餐饮方案与人数表</t>
  </si>
  <si>
    <t>数量准确、食品安全、兼顾特殊需求</t>
  </si>
  <si>
    <t>8月10日锁定基础人数，8月14日完成最终微调</t>
  </si>
  <si>
    <t>安排接送站、车辆和交通指引</t>
  </si>
  <si>
    <t>交通调度表</t>
  </si>
  <si>
    <t>重点嘉宾和参会者均获得清晰指引</t>
  </si>
  <si>
    <t>建立嘉宾一对一接待与陪同机制</t>
  </si>
  <si>
    <t>嘉宾接待责任表</t>
  </si>
  <si>
    <t>重要嘉宾到达、候场、离场全程有人负责</t>
  </si>
  <si>
    <t>准备医疗、药品、天气和突发保障</t>
  </si>
  <si>
    <t>会务组/场地方</t>
  </si>
  <si>
    <t>安全保障清单</t>
  </si>
  <si>
    <t>常见突发情况可立即处理</t>
  </si>
  <si>
    <t>准备礼品、伴手礼及发放名单</t>
  </si>
  <si>
    <t>外化设计组/财务组</t>
  </si>
  <si>
    <t>礼品清单与发放记录</t>
  </si>
  <si>
    <t>P2</t>
  </si>
  <si>
    <t>对象、数量、预算和寓意清楚</t>
  </si>
  <si>
    <t>管理后勤供应商及现场服务标准</t>
  </si>
  <si>
    <t>财务合规组</t>
  </si>
  <si>
    <t>供应商联系表与服务检查表</t>
  </si>
  <si>
    <t>服务按合同和时间节点完成</t>
  </si>
  <si>
    <t>编制大会预算、现金流和费用控制表</t>
  </si>
  <si>
    <t>财务合规组长待确认</t>
  </si>
  <si>
    <t>大会总预算</t>
  </si>
  <si>
    <t>全部大项有预算、来源和审批人</t>
  </si>
  <si>
    <t>确定收费方案、合同主体和收付款路径</t>
  </si>
  <si>
    <t>组委会/报名组</t>
  </si>
  <si>
    <t>收费与资金方案</t>
  </si>
  <si>
    <t>合法合规、流程清晰、可开票</t>
  </si>
  <si>
    <t>建立采购、询价、审批和付款机制</t>
  </si>
  <si>
    <t>会务/后勤/媒体/设计组</t>
  </si>
  <si>
    <t>采购与付款流程</t>
  </si>
  <si>
    <t>重大支出有比价、合同和审批记录</t>
  </si>
  <si>
    <t>审查主办、联合举办、赞助与合作协议</t>
  </si>
  <si>
    <t>合同模板与审核记录</t>
  </si>
  <si>
    <t>权责、知识产权、违约和结算清楚</t>
  </si>
  <si>
    <t>审查大会名称、宣传、合作与签约合规</t>
  </si>
  <si>
    <t>合规审查清单</t>
  </si>
  <si>
    <t>“愿力中国”等名称和对外承诺经审查</t>
  </si>
  <si>
    <t>建立发票、报销、台账和凭证管理</t>
  </si>
  <si>
    <t>财务台账与报销规则</t>
  </si>
  <si>
    <t>每笔收支可追溯、可核对</t>
  </si>
  <si>
    <t>审查个人信息、肖像、摄影和数据使用授权</t>
  </si>
  <si>
    <t>媒体组/报名组</t>
  </si>
  <si>
    <t>授权文本与隐私说明</t>
  </si>
  <si>
    <t>参会者与嘉宾授权清晰</t>
  </si>
  <si>
    <t>完成会后结算、决算和财务复盘</t>
  </si>
  <si>
    <t>大会决算报告</t>
  </si>
  <si>
    <t>预算差异、未结款和改进项完整</t>
  </si>
  <si>
    <t>大会后14天内完成决算</t>
  </si>
  <si>
    <t>会后跟进组</t>
  </si>
  <si>
    <t>整理参会者、嘉宾、媒体和合作方数据</t>
  </si>
  <si>
    <t>会后跟进组长待确认</t>
  </si>
  <si>
    <t>外联组/媒体组/会务组</t>
  </si>
  <si>
    <t>会后联系人数据库</t>
  </si>
  <si>
    <t>数据完整、分类清楚、权限合规</t>
  </si>
  <si>
    <t>收集参会反馈、行动认领和合作意向</t>
  </si>
  <si>
    <t>主持人/外联组</t>
  </si>
  <si>
    <t>反馈与行动认领表</t>
  </si>
  <si>
    <t>现场或会后48小时完成回收</t>
  </si>
  <si>
    <t>现场开始收集，会后48小时内完成回收</t>
  </si>
  <si>
    <t>形成会议纪要、成果文件和影像资料包</t>
  </si>
  <si>
    <t>大会成果包</t>
  </si>
  <si>
    <t>会后7天内完成并可对内对外使用</t>
  </si>
  <si>
    <t>大会后7天内形成完整成果包</t>
  </si>
  <si>
    <t>发送感谢、资料、承诺确认和下一步通知</t>
  </si>
  <si>
    <t>会后沟通记录</t>
  </si>
  <si>
    <t>重要对象均收到匹配的信息和行动入口</t>
  </si>
  <si>
    <t>启动共学基地、实践社区与项目承接</t>
  </si>
  <si>
    <t>共学基地组/社区负责人</t>
  </si>
  <si>
    <t>首期活动与项目清单</t>
  </si>
  <si>
    <t>大会后14天内有真实活动发生</t>
  </si>
  <si>
    <t>大会后14天内必须有首期真实活动发生</t>
  </si>
  <si>
    <t>建立大会后100天行动计划</t>
  </si>
  <si>
    <t>总统筹/组委会/各承接组</t>
  </si>
  <si>
    <t>100天行动总表</t>
  </si>
  <si>
    <t>目标、责任人、月度节点和成果标准明确</t>
  </si>
  <si>
    <t>组织重点对象回访和合作转化</t>
  </si>
  <si>
    <t>外联组/相关业务组</t>
  </si>
  <si>
    <t>重点对象跟进记录</t>
  </si>
  <si>
    <t>每个重点意向有责任人和下一步</t>
  </si>
  <si>
    <t>8月29日完成首轮回访，后续持续跟进至11月23日</t>
  </si>
  <si>
    <t>进行30天、60天、100天阶段复盘</t>
  </si>
  <si>
    <t>组委会/总统筹</t>
  </si>
  <si>
    <t>阶段复盘报告</t>
  </si>
  <si>
    <t>事实、数据、案例、问题与下一步完整</t>
  </si>
  <si>
    <t>9月14日、10月14日、11月23日完成30/60/100天复盘</t>
  </si>
  <si>
    <t>建立贡献记录、价值回流和长期共生机制</t>
  </si>
  <si>
    <t>明哥/财务合规组/相关负责人</t>
  </si>
  <si>
    <t>贡献与价值回流记录</t>
  </si>
  <si>
    <t>贡献可见、协作可追踪、回流机制可解释</t>
  </si>
  <si>
    <t>9月14日形成V1.0，后续持续迭代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</si>
</sst>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m/d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8"/>
      <color rgb="FFFFFFFF"/>
      <name val="Noto Sans S Chinese"/>
      <charset val="134"/>
    </font>
    <font>
      <sz val="10"/>
      <color rgb="FF5B6573"/>
      <name val="Noto Sans S Chinese"/>
      <charset val="134"/>
    </font>
    <font>
      <b/>
      <sz val="10"/>
      <color rgb="FF1F4D78"/>
      <name val="Noto Sans S Chinese"/>
      <charset val="134"/>
    </font>
    <font>
      <sz val="10"/>
      <color rgb="FF1F2937"/>
      <name val="Noto Sans S Chinese"/>
      <charset val="134"/>
    </font>
    <font>
      <b/>
      <sz val="10"/>
      <color rgb="FF7C4A03"/>
      <name val="Noto Sans S Chinese"/>
      <charset val="134"/>
    </font>
    <font>
      <b/>
      <sz val="10"/>
      <color rgb="FFFFFFFF"/>
      <name val="Noto Sans S Chinese"/>
      <charset val="134"/>
    </font>
    <font>
      <i/>
      <sz val="10"/>
      <color rgb="FF5B6573"/>
      <name val="Noto Sans S Chinese"/>
      <charset val="134"/>
    </font>
    <font>
      <b/>
      <sz val="12"/>
      <color rgb="FFFFFFFF"/>
      <name val="Noto Sans S Chinese"/>
      <charset val="134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D78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  <border>
      <left/>
      <right style="thin">
        <color rgb="FFD6DCE5"/>
      </right>
      <top/>
      <bottom style="thin">
        <color rgb="FFD6DCE5"/>
      </bottom>
      <diagonal/>
    </border>
    <border>
      <left style="thin">
        <color rgb="FFD6DCE5"/>
      </left>
      <right style="thin">
        <color rgb="FFD6DCE5"/>
      </right>
      <top/>
      <bottom style="thin">
        <color rgb="FFD6DCE5"/>
      </bottom>
      <diagonal/>
    </border>
    <border>
      <left/>
      <right style="thin">
        <color rgb="FFD6DCE5"/>
      </right>
      <top style="thin">
        <color rgb="FFD6DCE5"/>
      </top>
      <bottom style="thin">
        <color rgb="FFD6DCE5"/>
      </bottom>
      <diagonal/>
    </border>
    <border>
      <left style="thin">
        <color rgb="FFD6DCE5"/>
      </left>
      <right/>
      <top/>
      <bottom style="thin">
        <color rgb="FFD6DCE5"/>
      </bottom>
      <diagonal/>
    </border>
    <border>
      <left style="thin">
        <color rgb="FFD6DCE5"/>
      </left>
      <right/>
      <top style="thin">
        <color rgb="FFD6DCE5"/>
      </top>
      <bottom style="thin">
        <color rgb="FFD6DCE5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0" fontId="0" fillId="0" borderId="0" applyBorder="0"/>
    <xf numFmtId="0" fontId="11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6" fillId="30" borderId="13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4" fillId="18" borderId="13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22" fillId="18" borderId="1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11" borderId="10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</cellStyleXfs>
  <cellXfs count="27">
    <xf numFmtId="0" fontId="0" fillId="0" borderId="0" xfId="1"/>
    <xf numFmtId="0" fontId="1" fillId="2" borderId="0" xfId="1" applyNumberFormat="1" applyFont="1" applyFill="1" applyAlignment="1">
      <alignment vertical="center" wrapText="1"/>
    </xf>
    <xf numFmtId="0" fontId="2" fillId="3" borderId="0" xfId="1" applyNumberFormat="1" applyFont="1" applyFill="1" applyAlignment="1">
      <alignment vertical="center" wrapText="1"/>
    </xf>
    <xf numFmtId="0" fontId="3" fillId="4" borderId="1" xfId="1" applyNumberFormat="1" applyFont="1" applyFill="1" applyBorder="1" applyAlignment="1">
      <alignment vertical="center" wrapText="1"/>
    </xf>
    <xf numFmtId="0" fontId="4" fillId="5" borderId="1" xfId="1" applyNumberFormat="1" applyFont="1" applyFill="1" applyBorder="1" applyAlignment="1">
      <alignment vertical="center" wrapText="1"/>
    </xf>
    <xf numFmtId="0" fontId="5" fillId="6" borderId="1" xfId="1" applyNumberFormat="1" applyFont="1" applyFill="1" applyBorder="1" applyAlignment="1">
      <alignment horizontal="left" vertical="center" wrapText="1"/>
    </xf>
    <xf numFmtId="0" fontId="6" fillId="7" borderId="1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vertical="center" wrapText="1"/>
    </xf>
    <xf numFmtId="0" fontId="4" fillId="0" borderId="3" xfId="1" applyNumberFormat="1" applyFont="1" applyFill="1" applyBorder="1" applyAlignment="1">
      <alignment vertical="center" wrapText="1"/>
    </xf>
    <xf numFmtId="0" fontId="4" fillId="0" borderId="4" xfId="1" applyNumberFormat="1" applyFont="1" applyFill="1" applyBorder="1" applyAlignment="1">
      <alignment vertical="center" wrapText="1"/>
    </xf>
    <xf numFmtId="0" fontId="4" fillId="0" borderId="1" xfId="1" applyNumberFormat="1" applyFont="1" applyFill="1" applyBorder="1" applyAlignment="1">
      <alignment vertical="center" wrapText="1"/>
    </xf>
    <xf numFmtId="0" fontId="7" fillId="6" borderId="1" xfId="1" applyNumberFormat="1" applyFont="1" applyFill="1" applyBorder="1" applyAlignment="1">
      <alignment vertical="center" wrapText="1"/>
    </xf>
    <xf numFmtId="9" fontId="4" fillId="5" borderId="1" xfId="1" applyNumberFormat="1" applyFont="1" applyFill="1" applyBorder="1" applyAlignment="1">
      <alignment vertical="center" wrapText="1"/>
    </xf>
    <xf numFmtId="176" fontId="4" fillId="0" borderId="3" xfId="1" applyNumberFormat="1" applyFont="1" applyFill="1" applyBorder="1" applyAlignment="1">
      <alignment horizontal="center" vertical="center" wrapText="1"/>
    </xf>
    <xf numFmtId="9" fontId="4" fillId="0" borderId="3" xfId="1" applyNumberFormat="1" applyFont="1" applyFill="1" applyBorder="1" applyAlignment="1">
      <alignment vertical="center" wrapText="1"/>
    </xf>
    <xf numFmtId="176" fontId="4" fillId="0" borderId="1" xfId="1" applyNumberFormat="1" applyFont="1" applyFill="1" applyBorder="1" applyAlignment="1">
      <alignment horizontal="center" vertical="center" wrapText="1"/>
    </xf>
    <xf numFmtId="9" fontId="4" fillId="0" borderId="1" xfId="1" applyNumberFormat="1" applyFont="1" applyFill="1" applyBorder="1" applyAlignment="1">
      <alignment vertical="center" wrapText="1"/>
    </xf>
    <xf numFmtId="176" fontId="7" fillId="6" borderId="1" xfId="1" applyNumberFormat="1" applyFont="1" applyFill="1" applyBorder="1" applyAlignment="1">
      <alignment horizontal="center" vertical="center" wrapText="1"/>
    </xf>
    <xf numFmtId="9" fontId="7" fillId="6" borderId="1" xfId="1" applyNumberFormat="1" applyFont="1" applyFill="1" applyBorder="1" applyAlignment="1">
      <alignment vertical="center" wrapText="1"/>
    </xf>
    <xf numFmtId="0" fontId="5" fillId="6" borderId="1" xfId="1" applyNumberFormat="1" applyFont="1" applyFill="1" applyBorder="1" applyAlignment="1">
      <alignment vertical="center" wrapText="1"/>
    </xf>
    <xf numFmtId="0" fontId="4" fillId="0" borderId="5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center" wrapText="1"/>
    </xf>
    <xf numFmtId="0" fontId="7" fillId="6" borderId="6" xfId="1" applyNumberFormat="1" applyFont="1" applyFill="1" applyBorder="1" applyAlignment="1">
      <alignment vertical="center" wrapText="1"/>
    </xf>
    <xf numFmtId="0" fontId="8" fillId="2" borderId="0" xfId="1" applyNumberFormat="1" applyFont="1" applyFill="1" applyAlignment="1">
      <alignment vertical="center" wrapText="1"/>
    </xf>
    <xf numFmtId="0" fontId="4" fillId="6" borderId="1" xfId="1" applyNumberFormat="1" applyFont="1" applyFill="1" applyBorder="1" applyAlignment="1">
      <alignment vertical="center" wrapText="1"/>
    </xf>
    <xf numFmtId="0" fontId="4" fillId="6" borderId="3" xfId="1" applyNumberFormat="1" applyFont="1" applyFill="1" applyBorder="1" applyAlignment="1">
      <alignment vertical="center" wrapText="1"/>
    </xf>
    <xf numFmtId="0" fontId="4" fillId="6" borderId="5" xfId="1" applyNumberFormat="1" applyFont="1" applyFill="1" applyBorder="1" applyAlignment="1">
      <alignment vertical="center" wrapText="1"/>
    </xf>
  </cellXfs>
  <cellStyles count="50">
    <cellStyle name="常规" xfId="0" builtinId="0"/>
    <cellStyle name="Normal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31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267968C86FFD4C36ACC19EA1FD1885CA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ivisionTable" displayName="DivisionTable" ref="A6:M115" totalsRowShown="0">
  <tableColumns count="13">
    <tableColumn id="1" name="序号"/>
    <tableColumn id="2" name="组织/工作组"/>
    <tableColumn id="3" name="细分职责/任务"/>
    <tableColumn id="4" name="主责人"/>
    <tableColumn id="5" name="协作人"/>
    <tableColumn id="6" name="交付成果"/>
    <tableColumn id="7" name="交付时间"/>
    <tableColumn id="8" name="完成进度"/>
    <tableColumn id="9" name="状态"/>
    <tableColumn id="10" name="优先级"/>
    <tableColumn id="11" name="前置依赖/需支持"/>
    <tableColumn id="12" name="验收标准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00"/>
  <sheetViews>
    <sheetView showGridLines="0" topLeftCell="A37" workbookViewId="0">
      <selection activeCell="A1" sqref="A1:L1"/>
    </sheetView>
  </sheetViews>
  <sheetFormatPr defaultColWidth="9.90825688073394" defaultRowHeight="13.05"/>
  <cols>
    <col min="1" max="1" width="9" customWidth="1"/>
    <col min="2" max="2" width="13" customWidth="1"/>
    <col min="3" max="4" width="16" customWidth="1"/>
    <col min="5" max="7" width="18" customWidth="1"/>
    <col min="8" max="11" width="16" customWidth="1"/>
    <col min="12" max="12" width="13" customWidth="1"/>
  </cols>
  <sheetData>
    <row r="1" ht="36" customHeight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26" customHeight="1" spans="1:1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4" ht="28" customHeight="1" spans="1:12">
      <c r="A4" s="23" t="s">
        <v>2</v>
      </c>
      <c r="B4" s="23" t="s">
        <v>2</v>
      </c>
      <c r="C4" s="23" t="s">
        <v>2</v>
      </c>
      <c r="D4" s="23" t="s">
        <v>2</v>
      </c>
      <c r="E4" s="23" t="s">
        <v>2</v>
      </c>
      <c r="F4" s="23" t="s">
        <v>2</v>
      </c>
      <c r="G4" s="23" t="s">
        <v>2</v>
      </c>
      <c r="H4" s="23" t="s">
        <v>2</v>
      </c>
      <c r="I4" s="23" t="s">
        <v>2</v>
      </c>
      <c r="J4" s="23" t="s">
        <v>2</v>
      </c>
      <c r="K4" s="23" t="s">
        <v>2</v>
      </c>
      <c r="L4" s="23" t="s">
        <v>2</v>
      </c>
    </row>
    <row r="5" ht="34" customHeight="1" spans="1:12">
      <c r="A5" s="3" t="s">
        <v>3</v>
      </c>
      <c r="B5" s="3" t="s">
        <v>3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3" t="s">
        <v>5</v>
      </c>
      <c r="J5" s="3" t="s">
        <v>5</v>
      </c>
      <c r="K5" s="4" t="s">
        <v>6</v>
      </c>
      <c r="L5" s="4" t="s">
        <v>6</v>
      </c>
    </row>
    <row r="6" ht="34" customHeight="1" spans="1:12">
      <c r="A6" s="3" t="s">
        <v>7</v>
      </c>
      <c r="B6" s="3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3" t="s">
        <v>9</v>
      </c>
      <c r="J6" s="3" t="s">
        <v>9</v>
      </c>
      <c r="K6" s="24" t="s">
        <v>10</v>
      </c>
      <c r="L6" s="24" t="s">
        <v>10</v>
      </c>
    </row>
    <row r="7" ht="34" customHeight="1" spans="1:12">
      <c r="A7" s="3" t="s">
        <v>11</v>
      </c>
      <c r="B7" s="3" t="s">
        <v>11</v>
      </c>
      <c r="C7" s="24" t="s">
        <v>12</v>
      </c>
      <c r="D7" s="24" t="s">
        <v>12</v>
      </c>
      <c r="E7" s="24" t="s">
        <v>12</v>
      </c>
      <c r="F7" s="24" t="s">
        <v>12</v>
      </c>
      <c r="G7" s="24" t="s">
        <v>12</v>
      </c>
      <c r="H7" s="24" t="s">
        <v>12</v>
      </c>
      <c r="I7" s="3" t="s">
        <v>13</v>
      </c>
      <c r="J7" s="3" t="s">
        <v>13</v>
      </c>
      <c r="K7" s="24" t="s">
        <v>14</v>
      </c>
      <c r="L7" s="24" t="s">
        <v>14</v>
      </c>
    </row>
    <row r="8" ht="34" customHeight="1" spans="1:12">
      <c r="A8" s="3" t="s">
        <v>15</v>
      </c>
      <c r="B8" s="3" t="s">
        <v>15</v>
      </c>
      <c r="C8" s="24" t="s">
        <v>16</v>
      </c>
      <c r="D8" s="24" t="s">
        <v>16</v>
      </c>
      <c r="E8" s="24" t="s">
        <v>16</v>
      </c>
      <c r="F8" s="24" t="s">
        <v>16</v>
      </c>
      <c r="G8" s="24" t="s">
        <v>16</v>
      </c>
      <c r="H8" s="24" t="s">
        <v>16</v>
      </c>
      <c r="I8" s="3" t="s">
        <v>17</v>
      </c>
      <c r="J8" s="3" t="s">
        <v>17</v>
      </c>
      <c r="K8" s="4" t="s">
        <v>18</v>
      </c>
      <c r="L8" s="4" t="s">
        <v>18</v>
      </c>
    </row>
    <row r="9" ht="34" customHeight="1" spans="1:12">
      <c r="A9" s="3" t="s">
        <v>19</v>
      </c>
      <c r="B9" s="3" t="s">
        <v>19</v>
      </c>
      <c r="C9" s="24" t="s">
        <v>20</v>
      </c>
      <c r="D9" s="24" t="s">
        <v>20</v>
      </c>
      <c r="E9" s="24" t="s">
        <v>20</v>
      </c>
      <c r="F9" s="24" t="s">
        <v>20</v>
      </c>
      <c r="G9" s="24" t="s">
        <v>20</v>
      </c>
      <c r="H9" s="24" t="s">
        <v>20</v>
      </c>
      <c r="I9" s="3" t="s">
        <v>21</v>
      </c>
      <c r="J9" s="3" t="s">
        <v>21</v>
      </c>
      <c r="K9" s="24" t="s">
        <v>22</v>
      </c>
      <c r="L9" s="24" t="s">
        <v>22</v>
      </c>
    </row>
    <row r="10" ht="104" customHeight="1" spans="1:12">
      <c r="A10" s="3" t="s">
        <v>23</v>
      </c>
      <c r="B10" s="3" t="s">
        <v>23</v>
      </c>
      <c r="C10" s="4" t="s">
        <v>24</v>
      </c>
      <c r="D10" s="4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3" t="s">
        <v>25</v>
      </c>
      <c r="J10" s="3" t="s">
        <v>25</v>
      </c>
      <c r="K10" s="4" t="s">
        <v>26</v>
      </c>
      <c r="L10" s="4" t="s">
        <v>26</v>
      </c>
    </row>
    <row r="11" ht="62" customHeight="1" spans="1:12">
      <c r="A11" s="3" t="s">
        <v>27</v>
      </c>
      <c r="B11" s="3" t="s">
        <v>27</v>
      </c>
      <c r="C11" s="24" t="s">
        <v>28</v>
      </c>
      <c r="D11" s="24" t="s">
        <v>28</v>
      </c>
      <c r="E11" s="24" t="s">
        <v>28</v>
      </c>
      <c r="F11" s="24" t="s">
        <v>28</v>
      </c>
      <c r="G11" s="24" t="s">
        <v>28</v>
      </c>
      <c r="H11" s="24" t="s">
        <v>28</v>
      </c>
      <c r="I11" s="3" t="s">
        <v>29</v>
      </c>
      <c r="J11" s="3" t="s">
        <v>29</v>
      </c>
      <c r="K11" s="24" t="s">
        <v>30</v>
      </c>
      <c r="L11" s="24" t="s">
        <v>30</v>
      </c>
    </row>
    <row r="13" ht="28" customHeight="1" spans="1:12">
      <c r="A13" s="23" t="s">
        <v>31</v>
      </c>
      <c r="B13" s="23" t="s">
        <v>31</v>
      </c>
      <c r="C13" s="23" t="s">
        <v>31</v>
      </c>
      <c r="D13" s="23" t="s">
        <v>31</v>
      </c>
      <c r="E13" s="23" t="s">
        <v>31</v>
      </c>
      <c r="F13" s="23" t="s">
        <v>31</v>
      </c>
      <c r="G13" s="23" t="s">
        <v>31</v>
      </c>
      <c r="H13" s="23" t="s">
        <v>31</v>
      </c>
      <c r="I13" s="23" t="s">
        <v>31</v>
      </c>
      <c r="J13" s="23" t="s">
        <v>31</v>
      </c>
      <c r="K13" s="23" t="s">
        <v>31</v>
      </c>
      <c r="L13" s="23" t="s">
        <v>31</v>
      </c>
    </row>
    <row r="14" ht="32" customHeight="1" spans="1:12">
      <c r="A14" s="6" t="s">
        <v>32</v>
      </c>
      <c r="B14" s="6" t="s">
        <v>32</v>
      </c>
      <c r="C14" s="6" t="s">
        <v>33</v>
      </c>
      <c r="D14" s="6" t="s">
        <v>33</v>
      </c>
      <c r="E14" s="6" t="s">
        <v>33</v>
      </c>
      <c r="F14" s="6" t="s">
        <v>33</v>
      </c>
      <c r="G14" s="6" t="s">
        <v>33</v>
      </c>
      <c r="H14" s="6" t="s">
        <v>33</v>
      </c>
      <c r="I14" s="6" t="s">
        <v>33</v>
      </c>
      <c r="J14" s="6" t="s">
        <v>33</v>
      </c>
      <c r="K14" s="6" t="s">
        <v>33</v>
      </c>
      <c r="L14" s="6" t="s">
        <v>33</v>
      </c>
    </row>
    <row r="15" ht="64" customHeight="1" spans="1:12">
      <c r="A15" s="3" t="s">
        <v>34</v>
      </c>
      <c r="B15" s="3" t="s">
        <v>34</v>
      </c>
      <c r="C15" s="8" t="s">
        <v>35</v>
      </c>
      <c r="D15" s="8" t="s">
        <v>35</v>
      </c>
      <c r="E15" s="8" t="s">
        <v>35</v>
      </c>
      <c r="F15" s="8" t="s">
        <v>35</v>
      </c>
      <c r="G15" s="8" t="s">
        <v>35</v>
      </c>
      <c r="H15" s="8" t="s">
        <v>35</v>
      </c>
      <c r="I15" s="8" t="s">
        <v>35</v>
      </c>
      <c r="J15" s="8" t="s">
        <v>35</v>
      </c>
      <c r="K15" s="8" t="s">
        <v>35</v>
      </c>
      <c r="L15" s="20" t="s">
        <v>35</v>
      </c>
    </row>
    <row r="16" ht="64" customHeight="1" spans="1:12">
      <c r="A16" s="3" t="s">
        <v>36</v>
      </c>
      <c r="B16" s="3" t="s">
        <v>36</v>
      </c>
      <c r="C16" s="8" t="s">
        <v>37</v>
      </c>
      <c r="D16" s="8" t="s">
        <v>37</v>
      </c>
      <c r="E16" s="8" t="s">
        <v>37</v>
      </c>
      <c r="F16" s="8" t="s">
        <v>37</v>
      </c>
      <c r="G16" s="8" t="s">
        <v>37</v>
      </c>
      <c r="H16" s="8" t="s">
        <v>37</v>
      </c>
      <c r="I16" s="8" t="s">
        <v>37</v>
      </c>
      <c r="J16" s="8" t="s">
        <v>37</v>
      </c>
      <c r="K16" s="8" t="s">
        <v>37</v>
      </c>
      <c r="L16" s="20" t="s">
        <v>37</v>
      </c>
    </row>
    <row r="17" ht="64" customHeight="1" spans="1:12">
      <c r="A17" s="3" t="s">
        <v>38</v>
      </c>
      <c r="B17" s="3" t="s">
        <v>38</v>
      </c>
      <c r="C17" s="8" t="s">
        <v>39</v>
      </c>
      <c r="D17" s="8" t="s">
        <v>39</v>
      </c>
      <c r="E17" s="8" t="s">
        <v>39</v>
      </c>
      <c r="F17" s="8" t="s">
        <v>39</v>
      </c>
      <c r="G17" s="8" t="s">
        <v>39</v>
      </c>
      <c r="H17" s="8" t="s">
        <v>39</v>
      </c>
      <c r="I17" s="8" t="s">
        <v>39</v>
      </c>
      <c r="J17" s="8" t="s">
        <v>39</v>
      </c>
      <c r="K17" s="8" t="s">
        <v>39</v>
      </c>
      <c r="L17" s="20" t="s">
        <v>39</v>
      </c>
    </row>
    <row r="18" ht="64" customHeight="1" spans="1:12">
      <c r="A18" s="3" t="s">
        <v>40</v>
      </c>
      <c r="B18" s="3" t="s">
        <v>40</v>
      </c>
      <c r="C18" s="8" t="s">
        <v>41</v>
      </c>
      <c r="D18" s="8" t="s">
        <v>41</v>
      </c>
      <c r="E18" s="8" t="s">
        <v>41</v>
      </c>
      <c r="F18" s="8" t="s">
        <v>41</v>
      </c>
      <c r="G18" s="8" t="s">
        <v>41</v>
      </c>
      <c r="H18" s="8" t="s">
        <v>41</v>
      </c>
      <c r="I18" s="8" t="s">
        <v>41</v>
      </c>
      <c r="J18" s="8" t="s">
        <v>41</v>
      </c>
      <c r="K18" s="8" t="s">
        <v>41</v>
      </c>
      <c r="L18" s="20" t="s">
        <v>41</v>
      </c>
    </row>
    <row r="19" ht="64" customHeight="1" spans="1:12">
      <c r="A19" s="3" t="s">
        <v>42</v>
      </c>
      <c r="B19" s="3" t="s">
        <v>42</v>
      </c>
      <c r="C19" s="8" t="s">
        <v>43</v>
      </c>
      <c r="D19" s="8" t="s">
        <v>43</v>
      </c>
      <c r="E19" s="8" t="s">
        <v>43</v>
      </c>
      <c r="F19" s="8" t="s">
        <v>43</v>
      </c>
      <c r="G19" s="8" t="s">
        <v>43</v>
      </c>
      <c r="H19" s="8" t="s">
        <v>43</v>
      </c>
      <c r="I19" s="8" t="s">
        <v>43</v>
      </c>
      <c r="J19" s="8" t="s">
        <v>43</v>
      </c>
      <c r="K19" s="8" t="s">
        <v>43</v>
      </c>
      <c r="L19" s="20" t="s">
        <v>43</v>
      </c>
    </row>
    <row r="20" ht="64" customHeight="1" spans="1:12">
      <c r="A20" s="3" t="s">
        <v>44</v>
      </c>
      <c r="B20" s="3" t="s">
        <v>44</v>
      </c>
      <c r="C20" s="8" t="s">
        <v>45</v>
      </c>
      <c r="D20" s="8" t="s">
        <v>45</v>
      </c>
      <c r="E20" s="8" t="s">
        <v>45</v>
      </c>
      <c r="F20" s="8" t="s">
        <v>45</v>
      </c>
      <c r="G20" s="8" t="s">
        <v>45</v>
      </c>
      <c r="H20" s="8" t="s">
        <v>45</v>
      </c>
      <c r="I20" s="8" t="s">
        <v>45</v>
      </c>
      <c r="J20" s="8" t="s">
        <v>45</v>
      </c>
      <c r="K20" s="8" t="s">
        <v>45</v>
      </c>
      <c r="L20" s="20" t="s">
        <v>45</v>
      </c>
    </row>
    <row r="21" ht="28" customHeight="1" spans="1:12">
      <c r="A21" s="23" t="s">
        <v>46</v>
      </c>
      <c r="B21" s="23" t="s">
        <v>46</v>
      </c>
      <c r="C21" s="23" t="s">
        <v>46</v>
      </c>
      <c r="D21" s="23" t="s">
        <v>46</v>
      </c>
      <c r="E21" s="23" t="s">
        <v>46</v>
      </c>
      <c r="F21" s="23" t="s">
        <v>46</v>
      </c>
      <c r="G21" s="23" t="s">
        <v>46</v>
      </c>
      <c r="H21" s="23" t="s">
        <v>46</v>
      </c>
      <c r="I21" s="23" t="s">
        <v>46</v>
      </c>
      <c r="J21" s="23" t="s">
        <v>46</v>
      </c>
      <c r="K21" s="23" t="s">
        <v>46</v>
      </c>
      <c r="L21" s="23" t="s">
        <v>46</v>
      </c>
    </row>
    <row r="22" ht="32" customHeight="1" spans="1:12">
      <c r="A22" s="6" t="s">
        <v>47</v>
      </c>
      <c r="B22" s="6" t="s">
        <v>48</v>
      </c>
      <c r="C22" s="6" t="s">
        <v>48</v>
      </c>
      <c r="D22" s="6" t="s">
        <v>48</v>
      </c>
      <c r="E22" s="6" t="s">
        <v>49</v>
      </c>
      <c r="F22" s="6" t="s">
        <v>49</v>
      </c>
      <c r="G22" s="6" t="s">
        <v>49</v>
      </c>
      <c r="H22" s="6" t="s">
        <v>49</v>
      </c>
      <c r="I22" s="6" t="s">
        <v>49</v>
      </c>
      <c r="J22" s="6" t="s">
        <v>50</v>
      </c>
      <c r="K22" s="6" t="s">
        <v>50</v>
      </c>
      <c r="L22" s="6" t="s">
        <v>50</v>
      </c>
    </row>
    <row r="23" ht="38" customHeight="1" spans="1:12">
      <c r="A23" s="7">
        <v>1</v>
      </c>
      <c r="B23" s="8" t="s">
        <v>51</v>
      </c>
      <c r="C23" s="8" t="s">
        <v>51</v>
      </c>
      <c r="D23" s="8" t="s">
        <v>51</v>
      </c>
      <c r="E23" s="8" t="s">
        <v>52</v>
      </c>
      <c r="F23" s="8" t="s">
        <v>52</v>
      </c>
      <c r="G23" s="8" t="s">
        <v>52</v>
      </c>
      <c r="H23" s="8" t="s">
        <v>52</v>
      </c>
      <c r="I23" s="8" t="s">
        <v>52</v>
      </c>
      <c r="J23" s="8" t="s">
        <v>53</v>
      </c>
      <c r="K23" s="8" t="s">
        <v>53</v>
      </c>
      <c r="L23" s="20" t="s">
        <v>53</v>
      </c>
    </row>
    <row r="24" ht="38" customHeight="1" spans="1:12">
      <c r="A24" s="7">
        <v>2</v>
      </c>
      <c r="B24" s="8" t="s">
        <v>54</v>
      </c>
      <c r="C24" s="8" t="s">
        <v>54</v>
      </c>
      <c r="D24" s="8" t="s">
        <v>54</v>
      </c>
      <c r="E24" s="8" t="s">
        <v>55</v>
      </c>
      <c r="F24" s="8" t="s">
        <v>55</v>
      </c>
      <c r="G24" s="8" t="s">
        <v>55</v>
      </c>
      <c r="H24" s="8" t="s">
        <v>55</v>
      </c>
      <c r="I24" s="8" t="s">
        <v>55</v>
      </c>
      <c r="J24" s="8" t="s">
        <v>56</v>
      </c>
      <c r="K24" s="8" t="s">
        <v>56</v>
      </c>
      <c r="L24" s="20" t="s">
        <v>56</v>
      </c>
    </row>
    <row r="25" ht="38" customHeight="1" spans="1:12">
      <c r="A25" s="7">
        <v>3</v>
      </c>
      <c r="B25" s="8" t="s">
        <v>57</v>
      </c>
      <c r="C25" s="8" t="s">
        <v>57</v>
      </c>
      <c r="D25" s="8" t="s">
        <v>57</v>
      </c>
      <c r="E25" s="8" t="s">
        <v>58</v>
      </c>
      <c r="F25" s="8" t="s">
        <v>58</v>
      </c>
      <c r="G25" s="8" t="s">
        <v>58</v>
      </c>
      <c r="H25" s="8" t="s">
        <v>58</v>
      </c>
      <c r="I25" s="8" t="s">
        <v>58</v>
      </c>
      <c r="J25" s="8" t="s">
        <v>59</v>
      </c>
      <c r="K25" s="8" t="s">
        <v>59</v>
      </c>
      <c r="L25" s="20" t="s">
        <v>59</v>
      </c>
    </row>
    <row r="26" ht="38" customHeight="1" spans="1:12">
      <c r="A26" s="7">
        <v>4</v>
      </c>
      <c r="B26" s="8" t="s">
        <v>60</v>
      </c>
      <c r="C26" s="8" t="s">
        <v>60</v>
      </c>
      <c r="D26" s="8" t="s">
        <v>60</v>
      </c>
      <c r="E26" s="8" t="s">
        <v>61</v>
      </c>
      <c r="F26" s="8" t="s">
        <v>61</v>
      </c>
      <c r="G26" s="8" t="s">
        <v>61</v>
      </c>
      <c r="H26" s="8" t="s">
        <v>61</v>
      </c>
      <c r="I26" s="8" t="s">
        <v>61</v>
      </c>
      <c r="J26" s="8" t="s">
        <v>62</v>
      </c>
      <c r="K26" s="8" t="s">
        <v>62</v>
      </c>
      <c r="L26" s="20" t="s">
        <v>62</v>
      </c>
    </row>
    <row r="27" ht="38" customHeight="1" spans="1:12">
      <c r="A27" s="7">
        <v>5</v>
      </c>
      <c r="B27" s="8" t="s">
        <v>63</v>
      </c>
      <c r="C27" s="8" t="s">
        <v>63</v>
      </c>
      <c r="D27" s="8" t="s">
        <v>63</v>
      </c>
      <c r="E27" s="8" t="s">
        <v>64</v>
      </c>
      <c r="F27" s="8" t="s">
        <v>64</v>
      </c>
      <c r="G27" s="8" t="s">
        <v>64</v>
      </c>
      <c r="H27" s="8" t="s">
        <v>64</v>
      </c>
      <c r="I27" s="8" t="s">
        <v>64</v>
      </c>
      <c r="J27" s="8" t="s">
        <v>65</v>
      </c>
      <c r="K27" s="8" t="s">
        <v>65</v>
      </c>
      <c r="L27" s="20" t="s">
        <v>65</v>
      </c>
    </row>
    <row r="29" ht="28" customHeight="1" spans="1:12">
      <c r="A29" s="23" t="s">
        <v>66</v>
      </c>
      <c r="B29" s="23" t="s">
        <v>66</v>
      </c>
      <c r="C29" s="23" t="s">
        <v>66</v>
      </c>
      <c r="D29" s="23" t="s">
        <v>66</v>
      </c>
      <c r="E29" s="23" t="s">
        <v>66</v>
      </c>
      <c r="F29" s="23" t="s">
        <v>66</v>
      </c>
      <c r="G29" s="23" t="s">
        <v>66</v>
      </c>
      <c r="H29" s="23" t="s">
        <v>66</v>
      </c>
      <c r="I29" s="23" t="s">
        <v>66</v>
      </c>
      <c r="J29" s="23" t="s">
        <v>66</v>
      </c>
      <c r="K29" s="23" t="s">
        <v>66</v>
      </c>
      <c r="L29" s="23" t="s">
        <v>66</v>
      </c>
    </row>
    <row r="30" ht="32" customHeight="1" spans="1:12">
      <c r="A30" s="6" t="s">
        <v>67</v>
      </c>
      <c r="B30" s="6" t="s">
        <v>67</v>
      </c>
      <c r="C30" s="6" t="s">
        <v>68</v>
      </c>
      <c r="D30" s="6" t="s">
        <v>68</v>
      </c>
      <c r="E30" s="6" t="s">
        <v>69</v>
      </c>
      <c r="F30" s="6" t="s">
        <v>69</v>
      </c>
      <c r="G30" s="6" t="s">
        <v>69</v>
      </c>
      <c r="H30" s="6" t="s">
        <v>70</v>
      </c>
      <c r="I30" s="6" t="s">
        <v>70</v>
      </c>
      <c r="J30" s="6" t="s">
        <v>70</v>
      </c>
      <c r="K30" s="6" t="s">
        <v>71</v>
      </c>
      <c r="L30" s="6" t="s">
        <v>71</v>
      </c>
    </row>
    <row r="31" ht="48" customHeight="1" spans="1:12">
      <c r="A31" s="7" t="s">
        <v>72</v>
      </c>
      <c r="B31" s="8" t="s">
        <v>72</v>
      </c>
      <c r="C31" s="8" t="s">
        <v>73</v>
      </c>
      <c r="D31" s="8" t="s">
        <v>73</v>
      </c>
      <c r="E31" s="8" t="s">
        <v>74</v>
      </c>
      <c r="F31" s="8" t="s">
        <v>74</v>
      </c>
      <c r="G31" s="8" t="s">
        <v>74</v>
      </c>
      <c r="H31" s="8" t="s">
        <v>75</v>
      </c>
      <c r="I31" s="8" t="s">
        <v>75</v>
      </c>
      <c r="J31" s="8" t="s">
        <v>75</v>
      </c>
      <c r="K31" s="8" t="s">
        <v>76</v>
      </c>
      <c r="L31" s="20" t="s">
        <v>76</v>
      </c>
    </row>
    <row r="32" ht="48" customHeight="1" spans="1:12">
      <c r="A32" s="7" t="s">
        <v>77</v>
      </c>
      <c r="B32" s="8" t="s">
        <v>77</v>
      </c>
      <c r="C32" s="8" t="s">
        <v>78</v>
      </c>
      <c r="D32" s="8" t="s">
        <v>78</v>
      </c>
      <c r="E32" s="8" t="s">
        <v>79</v>
      </c>
      <c r="F32" s="8" t="s">
        <v>79</v>
      </c>
      <c r="G32" s="8" t="s">
        <v>79</v>
      </c>
      <c r="H32" s="8" t="s">
        <v>80</v>
      </c>
      <c r="I32" s="8" t="s">
        <v>80</v>
      </c>
      <c r="J32" s="8" t="s">
        <v>80</v>
      </c>
      <c r="K32" s="8" t="s">
        <v>81</v>
      </c>
      <c r="L32" s="20" t="s">
        <v>81</v>
      </c>
    </row>
    <row r="33" ht="48" customHeight="1" spans="1:12">
      <c r="A33" s="7" t="s">
        <v>82</v>
      </c>
      <c r="B33" s="8" t="s">
        <v>82</v>
      </c>
      <c r="C33" s="8" t="s">
        <v>83</v>
      </c>
      <c r="D33" s="8" t="s">
        <v>83</v>
      </c>
      <c r="E33" s="8" t="s">
        <v>84</v>
      </c>
      <c r="F33" s="8" t="s">
        <v>84</v>
      </c>
      <c r="G33" s="8" t="s">
        <v>84</v>
      </c>
      <c r="H33" s="8" t="s">
        <v>85</v>
      </c>
      <c r="I33" s="8" t="s">
        <v>85</v>
      </c>
      <c r="J33" s="8" t="s">
        <v>85</v>
      </c>
      <c r="K33" s="8" t="s">
        <v>86</v>
      </c>
      <c r="L33" s="20" t="s">
        <v>86</v>
      </c>
    </row>
    <row r="34" ht="48" customHeight="1" spans="1:12">
      <c r="A34" s="7" t="s">
        <v>87</v>
      </c>
      <c r="B34" s="8" t="s">
        <v>87</v>
      </c>
      <c r="C34" s="8" t="s">
        <v>88</v>
      </c>
      <c r="D34" s="8" t="s">
        <v>88</v>
      </c>
      <c r="E34" s="8" t="s">
        <v>89</v>
      </c>
      <c r="F34" s="8" t="s">
        <v>89</v>
      </c>
      <c r="G34" s="8" t="s">
        <v>89</v>
      </c>
      <c r="H34" s="8" t="s">
        <v>90</v>
      </c>
      <c r="I34" s="8" t="s">
        <v>90</v>
      </c>
      <c r="J34" s="8" t="s">
        <v>90</v>
      </c>
      <c r="K34" s="8" t="s">
        <v>91</v>
      </c>
      <c r="L34" s="20" t="s">
        <v>91</v>
      </c>
    </row>
    <row r="35" ht="48" customHeight="1" spans="1:12">
      <c r="A35" s="7" t="s">
        <v>92</v>
      </c>
      <c r="B35" s="8" t="s">
        <v>92</v>
      </c>
      <c r="C35" s="8" t="s">
        <v>93</v>
      </c>
      <c r="D35" s="8" t="s">
        <v>93</v>
      </c>
      <c r="E35" s="8" t="s">
        <v>94</v>
      </c>
      <c r="F35" s="8" t="s">
        <v>94</v>
      </c>
      <c r="G35" s="8" t="s">
        <v>94</v>
      </c>
      <c r="H35" s="8" t="s">
        <v>95</v>
      </c>
      <c r="I35" s="8" t="s">
        <v>95</v>
      </c>
      <c r="J35" s="8" t="s">
        <v>95</v>
      </c>
      <c r="K35" s="8" t="s">
        <v>96</v>
      </c>
      <c r="L35" s="20" t="s">
        <v>96</v>
      </c>
    </row>
    <row r="36" ht="48" customHeight="1" spans="1:12">
      <c r="A36" s="7" t="s">
        <v>97</v>
      </c>
      <c r="B36" s="8" t="s">
        <v>97</v>
      </c>
      <c r="C36" s="8" t="s">
        <v>98</v>
      </c>
      <c r="D36" s="8" t="s">
        <v>98</v>
      </c>
      <c r="E36" s="8" t="s">
        <v>99</v>
      </c>
      <c r="F36" s="8" t="s">
        <v>99</v>
      </c>
      <c r="G36" s="8" t="s">
        <v>99</v>
      </c>
      <c r="H36" s="8" t="s">
        <v>100</v>
      </c>
      <c r="I36" s="8" t="s">
        <v>100</v>
      </c>
      <c r="J36" s="8" t="s">
        <v>100</v>
      </c>
      <c r="K36" s="8" t="s">
        <v>101</v>
      </c>
      <c r="L36" s="20" t="s">
        <v>101</v>
      </c>
    </row>
    <row r="37" ht="48" customHeight="1" spans="1:12">
      <c r="A37" s="7" t="s">
        <v>102</v>
      </c>
      <c r="B37" s="8" t="s">
        <v>102</v>
      </c>
      <c r="C37" s="8" t="s">
        <v>103</v>
      </c>
      <c r="D37" s="8" t="s">
        <v>103</v>
      </c>
      <c r="E37" s="8" t="s">
        <v>104</v>
      </c>
      <c r="F37" s="8" t="s">
        <v>104</v>
      </c>
      <c r="G37" s="8" t="s">
        <v>104</v>
      </c>
      <c r="H37" s="8" t="s">
        <v>105</v>
      </c>
      <c r="I37" s="8" t="s">
        <v>105</v>
      </c>
      <c r="J37" s="8" t="s">
        <v>105</v>
      </c>
      <c r="K37" s="8" t="s">
        <v>106</v>
      </c>
      <c r="L37" s="20" t="s">
        <v>106</v>
      </c>
    </row>
    <row r="39" ht="28" customHeight="1" spans="1:12">
      <c r="A39" s="23" t="s">
        <v>107</v>
      </c>
      <c r="B39" s="23" t="s">
        <v>107</v>
      </c>
      <c r="C39" s="23" t="s">
        <v>107</v>
      </c>
      <c r="D39" s="23" t="s">
        <v>107</v>
      </c>
      <c r="E39" s="23" t="s">
        <v>107</v>
      </c>
      <c r="F39" s="23" t="s">
        <v>107</v>
      </c>
      <c r="G39" s="23" t="s">
        <v>107</v>
      </c>
      <c r="H39" s="23" t="s">
        <v>107</v>
      </c>
      <c r="I39" s="23" t="s">
        <v>107</v>
      </c>
      <c r="J39" s="23" t="s">
        <v>107</v>
      </c>
      <c r="K39" s="23" t="s">
        <v>107</v>
      </c>
      <c r="L39" s="23" t="s">
        <v>107</v>
      </c>
    </row>
    <row r="40" ht="32" customHeight="1" spans="1:12">
      <c r="A40" s="6" t="s">
        <v>108</v>
      </c>
      <c r="B40" s="6" t="s">
        <v>108</v>
      </c>
      <c r="C40" s="6" t="s">
        <v>109</v>
      </c>
      <c r="D40" s="6" t="s">
        <v>109</v>
      </c>
      <c r="E40" s="6" t="s">
        <v>109</v>
      </c>
      <c r="F40" s="6" t="s">
        <v>109</v>
      </c>
      <c r="G40" s="6" t="s">
        <v>110</v>
      </c>
      <c r="H40" s="6" t="s">
        <v>110</v>
      </c>
      <c r="I40" s="6" t="s">
        <v>110</v>
      </c>
      <c r="J40" s="6" t="s">
        <v>111</v>
      </c>
      <c r="K40" s="6" t="s">
        <v>111</v>
      </c>
      <c r="L40" s="6" t="s">
        <v>111</v>
      </c>
    </row>
    <row r="41" ht="42" customHeight="1" spans="1:12">
      <c r="A41" s="7" t="s">
        <v>112</v>
      </c>
      <c r="B41" s="8" t="s">
        <v>112</v>
      </c>
      <c r="C41" s="8" t="s">
        <v>113</v>
      </c>
      <c r="D41" s="8" t="s">
        <v>113</v>
      </c>
      <c r="E41" s="8" t="s">
        <v>113</v>
      </c>
      <c r="F41" s="8" t="s">
        <v>113</v>
      </c>
      <c r="G41" s="8" t="s">
        <v>114</v>
      </c>
      <c r="H41" s="8" t="s">
        <v>114</v>
      </c>
      <c r="I41" s="8" t="s">
        <v>114</v>
      </c>
      <c r="J41" s="8" t="s">
        <v>115</v>
      </c>
      <c r="K41" s="8" t="s">
        <v>115</v>
      </c>
      <c r="L41" s="20" t="s">
        <v>115</v>
      </c>
    </row>
    <row r="42" ht="42" customHeight="1" spans="1:12">
      <c r="A42" s="7" t="s">
        <v>116</v>
      </c>
      <c r="B42" s="8" t="s">
        <v>116</v>
      </c>
      <c r="C42" s="8" t="s">
        <v>117</v>
      </c>
      <c r="D42" s="8" t="s">
        <v>117</v>
      </c>
      <c r="E42" s="8" t="s">
        <v>117</v>
      </c>
      <c r="F42" s="8" t="s">
        <v>117</v>
      </c>
      <c r="G42" s="8" t="s">
        <v>118</v>
      </c>
      <c r="H42" s="8" t="s">
        <v>118</v>
      </c>
      <c r="I42" s="8" t="s">
        <v>118</v>
      </c>
      <c r="J42" s="8" t="s">
        <v>119</v>
      </c>
      <c r="K42" s="8" t="s">
        <v>119</v>
      </c>
      <c r="L42" s="20" t="s">
        <v>119</v>
      </c>
    </row>
    <row r="43" ht="42" customHeight="1" spans="1:12">
      <c r="A43" s="7" t="s">
        <v>120</v>
      </c>
      <c r="B43" s="8" t="s">
        <v>120</v>
      </c>
      <c r="C43" s="8" t="s">
        <v>121</v>
      </c>
      <c r="D43" s="8" t="s">
        <v>121</v>
      </c>
      <c r="E43" s="8" t="s">
        <v>121</v>
      </c>
      <c r="F43" s="8" t="s">
        <v>121</v>
      </c>
      <c r="G43" s="8" t="s">
        <v>122</v>
      </c>
      <c r="H43" s="8" t="s">
        <v>122</v>
      </c>
      <c r="I43" s="8" t="s">
        <v>122</v>
      </c>
      <c r="J43" s="8" t="s">
        <v>123</v>
      </c>
      <c r="K43" s="8" t="s">
        <v>123</v>
      </c>
      <c r="L43" s="20" t="s">
        <v>123</v>
      </c>
    </row>
    <row r="44" ht="42" customHeight="1" spans="1:12">
      <c r="A44" s="7" t="s">
        <v>124</v>
      </c>
      <c r="B44" s="8" t="s">
        <v>124</v>
      </c>
      <c r="C44" s="8" t="s">
        <v>125</v>
      </c>
      <c r="D44" s="8" t="s">
        <v>125</v>
      </c>
      <c r="E44" s="8" t="s">
        <v>125</v>
      </c>
      <c r="F44" s="8" t="s">
        <v>125</v>
      </c>
      <c r="G44" s="8" t="s">
        <v>126</v>
      </c>
      <c r="H44" s="8" t="s">
        <v>126</v>
      </c>
      <c r="I44" s="8" t="s">
        <v>126</v>
      </c>
      <c r="J44" s="8" t="s">
        <v>127</v>
      </c>
      <c r="K44" s="8" t="s">
        <v>127</v>
      </c>
      <c r="L44" s="20" t="s">
        <v>127</v>
      </c>
    </row>
    <row r="45" ht="42" customHeight="1" spans="1:12">
      <c r="A45" s="7" t="s">
        <v>128</v>
      </c>
      <c r="B45" s="8" t="s">
        <v>128</v>
      </c>
      <c r="C45" s="8" t="s">
        <v>129</v>
      </c>
      <c r="D45" s="8" t="s">
        <v>129</v>
      </c>
      <c r="E45" s="8" t="s">
        <v>129</v>
      </c>
      <c r="F45" s="8" t="s">
        <v>129</v>
      </c>
      <c r="G45" s="8" t="s">
        <v>130</v>
      </c>
      <c r="H45" s="8" t="s">
        <v>130</v>
      </c>
      <c r="I45" s="8" t="s">
        <v>130</v>
      </c>
      <c r="J45" s="8" t="s">
        <v>131</v>
      </c>
      <c r="K45" s="8" t="s">
        <v>131</v>
      </c>
      <c r="L45" s="20" t="s">
        <v>131</v>
      </c>
    </row>
    <row r="46" ht="42" customHeight="1" spans="1:12">
      <c r="A46" s="7" t="s">
        <v>132</v>
      </c>
      <c r="B46" s="8" t="s">
        <v>132</v>
      </c>
      <c r="C46" s="8" t="s">
        <v>133</v>
      </c>
      <c r="D46" s="8" t="s">
        <v>133</v>
      </c>
      <c r="E46" s="8" t="s">
        <v>133</v>
      </c>
      <c r="F46" s="8" t="s">
        <v>133</v>
      </c>
      <c r="G46" s="8" t="s">
        <v>134</v>
      </c>
      <c r="H46" s="8" t="s">
        <v>134</v>
      </c>
      <c r="I46" s="8" t="s">
        <v>134</v>
      </c>
      <c r="J46" s="8" t="s">
        <v>135</v>
      </c>
      <c r="K46" s="8" t="s">
        <v>135</v>
      </c>
      <c r="L46" s="20" t="s">
        <v>135</v>
      </c>
    </row>
    <row r="47" ht="42" customHeight="1" spans="1:12">
      <c r="A47" s="7" t="s">
        <v>136</v>
      </c>
      <c r="B47" s="8" t="s">
        <v>136</v>
      </c>
      <c r="C47" s="8" t="s">
        <v>137</v>
      </c>
      <c r="D47" s="8" t="s">
        <v>137</v>
      </c>
      <c r="E47" s="8" t="s">
        <v>137</v>
      </c>
      <c r="F47" s="8" t="s">
        <v>137</v>
      </c>
      <c r="G47" s="8" t="s">
        <v>138</v>
      </c>
      <c r="H47" s="8" t="s">
        <v>138</v>
      </c>
      <c r="I47" s="8" t="s">
        <v>138</v>
      </c>
      <c r="J47" s="8" t="s">
        <v>139</v>
      </c>
      <c r="K47" s="8" t="s">
        <v>139</v>
      </c>
      <c r="L47" s="20" t="s">
        <v>139</v>
      </c>
    </row>
    <row r="48" ht="42" customHeight="1" spans="1:12">
      <c r="A48" s="7" t="s">
        <v>140</v>
      </c>
      <c r="B48" s="8" t="s">
        <v>140</v>
      </c>
      <c r="C48" s="8" t="s">
        <v>141</v>
      </c>
      <c r="D48" s="8" t="s">
        <v>141</v>
      </c>
      <c r="E48" s="8" t="s">
        <v>141</v>
      </c>
      <c r="F48" s="8" t="s">
        <v>141</v>
      </c>
      <c r="G48" s="8" t="s">
        <v>142</v>
      </c>
      <c r="H48" s="8" t="s">
        <v>142</v>
      </c>
      <c r="I48" s="8" t="s">
        <v>142</v>
      </c>
      <c r="J48" s="8" t="s">
        <v>143</v>
      </c>
      <c r="K48" s="8" t="s">
        <v>143</v>
      </c>
      <c r="L48" s="20" t="s">
        <v>143</v>
      </c>
    </row>
    <row r="51" ht="28" customHeight="1" spans="1:12">
      <c r="A51" s="23" t="s">
        <v>144</v>
      </c>
      <c r="B51" s="23" t="s">
        <v>144</v>
      </c>
      <c r="C51" s="23" t="s">
        <v>144</v>
      </c>
      <c r="D51" s="23" t="s">
        <v>144</v>
      </c>
      <c r="E51" s="23" t="s">
        <v>144</v>
      </c>
      <c r="F51" s="23" t="s">
        <v>144</v>
      </c>
      <c r="G51" s="23" t="s">
        <v>144</v>
      </c>
      <c r="H51" s="23" t="s">
        <v>144</v>
      </c>
      <c r="I51" s="23" t="s">
        <v>144</v>
      </c>
      <c r="J51" s="23" t="s">
        <v>144</v>
      </c>
      <c r="K51" s="23" t="s">
        <v>144</v>
      </c>
      <c r="L51" s="23" t="s">
        <v>144</v>
      </c>
    </row>
    <row r="52" ht="32" customHeight="1" spans="1:12">
      <c r="A52" s="6" t="s">
        <v>145</v>
      </c>
      <c r="B52" s="6" t="s">
        <v>145</v>
      </c>
      <c r="C52" s="6" t="s">
        <v>146</v>
      </c>
      <c r="D52" s="6" t="s">
        <v>146</v>
      </c>
      <c r="E52" s="6" t="s">
        <v>147</v>
      </c>
      <c r="F52" s="6" t="s">
        <v>147</v>
      </c>
      <c r="G52" s="6" t="s">
        <v>147</v>
      </c>
      <c r="H52" s="6" t="s">
        <v>148</v>
      </c>
      <c r="I52" s="6" t="s">
        <v>148</v>
      </c>
      <c r="J52" s="6" t="s">
        <v>149</v>
      </c>
      <c r="K52" s="6" t="s">
        <v>149</v>
      </c>
      <c r="L52" s="6" t="s">
        <v>150</v>
      </c>
    </row>
    <row r="53" ht="46" customHeight="1" spans="1:12">
      <c r="A53" s="7" t="s">
        <v>151</v>
      </c>
      <c r="B53" s="8" t="s">
        <v>151</v>
      </c>
      <c r="C53" s="8" t="s">
        <v>152</v>
      </c>
      <c r="D53" s="8" t="s">
        <v>152</v>
      </c>
      <c r="E53" s="8" t="s">
        <v>153</v>
      </c>
      <c r="F53" s="8" t="s">
        <v>153</v>
      </c>
      <c r="G53" s="8" t="s">
        <v>153</v>
      </c>
      <c r="H53" s="8" t="s">
        <v>154</v>
      </c>
      <c r="I53" s="8" t="s">
        <v>154</v>
      </c>
      <c r="J53" s="8" t="s">
        <v>155</v>
      </c>
      <c r="K53" s="8" t="s">
        <v>155</v>
      </c>
      <c r="L53" s="20" t="s">
        <v>156</v>
      </c>
    </row>
    <row r="54" ht="46" customHeight="1" spans="1:12">
      <c r="A54" s="7" t="s">
        <v>151</v>
      </c>
      <c r="B54" s="8" t="s">
        <v>151</v>
      </c>
      <c r="C54" s="8" t="s">
        <v>157</v>
      </c>
      <c r="D54" s="8" t="s">
        <v>157</v>
      </c>
      <c r="E54" s="8" t="s">
        <v>158</v>
      </c>
      <c r="F54" s="8" t="s">
        <v>158</v>
      </c>
      <c r="G54" s="8" t="s">
        <v>158</v>
      </c>
      <c r="H54" s="8" t="s">
        <v>112</v>
      </c>
      <c r="I54" s="8" t="s">
        <v>112</v>
      </c>
      <c r="J54" s="8" t="s">
        <v>159</v>
      </c>
      <c r="K54" s="8" t="s">
        <v>159</v>
      </c>
      <c r="L54" s="20" t="s">
        <v>156</v>
      </c>
    </row>
    <row r="55" ht="46" customHeight="1" spans="1:12">
      <c r="A55" s="7" t="s">
        <v>151</v>
      </c>
      <c r="B55" s="8" t="s">
        <v>151</v>
      </c>
      <c r="C55" s="8" t="s">
        <v>160</v>
      </c>
      <c r="D55" s="8" t="s">
        <v>160</v>
      </c>
      <c r="E55" s="8" t="s">
        <v>161</v>
      </c>
      <c r="F55" s="8" t="s">
        <v>161</v>
      </c>
      <c r="G55" s="8" t="s">
        <v>161</v>
      </c>
      <c r="H55" s="8" t="s">
        <v>162</v>
      </c>
      <c r="I55" s="8" t="s">
        <v>162</v>
      </c>
      <c r="J55" s="8" t="s">
        <v>163</v>
      </c>
      <c r="K55" s="8" t="s">
        <v>163</v>
      </c>
      <c r="L55" s="20" t="s">
        <v>156</v>
      </c>
    </row>
    <row r="56" ht="46" customHeight="1" spans="1:12">
      <c r="A56" s="7" t="s">
        <v>164</v>
      </c>
      <c r="B56" s="8" t="s">
        <v>164</v>
      </c>
      <c r="C56" s="8" t="s">
        <v>165</v>
      </c>
      <c r="D56" s="8" t="s">
        <v>165</v>
      </c>
      <c r="E56" s="8" t="s">
        <v>166</v>
      </c>
      <c r="F56" s="8" t="s">
        <v>166</v>
      </c>
      <c r="G56" s="8" t="s">
        <v>166</v>
      </c>
      <c r="H56" s="8" t="s">
        <v>167</v>
      </c>
      <c r="I56" s="8" t="s">
        <v>167</v>
      </c>
      <c r="J56" s="8" t="s">
        <v>168</v>
      </c>
      <c r="K56" s="8" t="s">
        <v>168</v>
      </c>
      <c r="L56" s="20" t="s">
        <v>156</v>
      </c>
    </row>
    <row r="57" ht="46" customHeight="1" spans="1:12">
      <c r="A57" s="7" t="s">
        <v>164</v>
      </c>
      <c r="B57" s="8" t="s">
        <v>164</v>
      </c>
      <c r="C57" s="8" t="s">
        <v>169</v>
      </c>
      <c r="D57" s="8" t="s">
        <v>169</v>
      </c>
      <c r="E57" s="8" t="s">
        <v>170</v>
      </c>
      <c r="F57" s="8" t="s">
        <v>170</v>
      </c>
      <c r="G57" s="8" t="s">
        <v>170</v>
      </c>
      <c r="H57" s="8" t="s">
        <v>171</v>
      </c>
      <c r="I57" s="8" t="s">
        <v>171</v>
      </c>
      <c r="J57" s="8" t="s">
        <v>172</v>
      </c>
      <c r="K57" s="8" t="s">
        <v>172</v>
      </c>
      <c r="L57" s="20" t="s">
        <v>156</v>
      </c>
    </row>
    <row r="58" ht="46" customHeight="1" spans="1:12">
      <c r="A58" s="7" t="s">
        <v>164</v>
      </c>
      <c r="B58" s="8" t="s">
        <v>164</v>
      </c>
      <c r="C58" s="8" t="s">
        <v>173</v>
      </c>
      <c r="D58" s="8" t="s">
        <v>173</v>
      </c>
      <c r="E58" s="8" t="s">
        <v>174</v>
      </c>
      <c r="F58" s="8" t="s">
        <v>174</v>
      </c>
      <c r="G58" s="8" t="s">
        <v>174</v>
      </c>
      <c r="H58" s="8" t="s">
        <v>175</v>
      </c>
      <c r="I58" s="8" t="s">
        <v>175</v>
      </c>
      <c r="J58" s="8" t="s">
        <v>168</v>
      </c>
      <c r="K58" s="8" t="s">
        <v>168</v>
      </c>
      <c r="L58" s="20" t="s">
        <v>156</v>
      </c>
    </row>
    <row r="59" ht="46" customHeight="1" spans="1:12">
      <c r="A59" s="7" t="s">
        <v>176</v>
      </c>
      <c r="B59" s="8" t="s">
        <v>176</v>
      </c>
      <c r="C59" s="8" t="s">
        <v>177</v>
      </c>
      <c r="D59" s="8" t="s">
        <v>177</v>
      </c>
      <c r="E59" s="8" t="s">
        <v>178</v>
      </c>
      <c r="F59" s="8" t="s">
        <v>178</v>
      </c>
      <c r="G59" s="8" t="s">
        <v>178</v>
      </c>
      <c r="H59" s="8" t="s">
        <v>179</v>
      </c>
      <c r="I59" s="8" t="s">
        <v>179</v>
      </c>
      <c r="J59" s="8" t="s">
        <v>180</v>
      </c>
      <c r="K59" s="8" t="s">
        <v>180</v>
      </c>
      <c r="L59" s="20" t="s">
        <v>156</v>
      </c>
    </row>
    <row r="60" ht="46" customHeight="1" spans="1:12">
      <c r="A60" s="7" t="s">
        <v>181</v>
      </c>
      <c r="B60" s="8" t="s">
        <v>181</v>
      </c>
      <c r="C60" s="8" t="s">
        <v>182</v>
      </c>
      <c r="D60" s="8" t="s">
        <v>182</v>
      </c>
      <c r="E60" s="8" t="s">
        <v>183</v>
      </c>
      <c r="F60" s="8" t="s">
        <v>183</v>
      </c>
      <c r="G60" s="8" t="s">
        <v>183</v>
      </c>
      <c r="H60" s="8" t="s">
        <v>171</v>
      </c>
      <c r="I60" s="8" t="s">
        <v>171</v>
      </c>
      <c r="J60" s="8" t="s">
        <v>184</v>
      </c>
      <c r="K60" s="8" t="s">
        <v>184</v>
      </c>
      <c r="L60" s="20" t="s">
        <v>156</v>
      </c>
    </row>
    <row r="61" ht="46" customHeight="1" spans="1:12">
      <c r="A61" s="7" t="s">
        <v>181</v>
      </c>
      <c r="B61" s="8" t="s">
        <v>181</v>
      </c>
      <c r="C61" s="8" t="s">
        <v>185</v>
      </c>
      <c r="D61" s="8" t="s">
        <v>185</v>
      </c>
      <c r="E61" s="8" t="s">
        <v>186</v>
      </c>
      <c r="F61" s="8" t="s">
        <v>186</v>
      </c>
      <c r="G61" s="8" t="s">
        <v>186</v>
      </c>
      <c r="H61" s="8" t="s">
        <v>187</v>
      </c>
      <c r="I61" s="8" t="s">
        <v>187</v>
      </c>
      <c r="J61" s="8" t="s">
        <v>188</v>
      </c>
      <c r="K61" s="8" t="s">
        <v>188</v>
      </c>
      <c r="L61" s="20" t="s">
        <v>156</v>
      </c>
    </row>
    <row r="62" ht="46" customHeight="1" spans="1:12">
      <c r="A62" s="7" t="s">
        <v>189</v>
      </c>
      <c r="B62" s="8" t="s">
        <v>189</v>
      </c>
      <c r="C62" s="8" t="s">
        <v>190</v>
      </c>
      <c r="D62" s="8" t="s">
        <v>190</v>
      </c>
      <c r="E62" s="8" t="s">
        <v>191</v>
      </c>
      <c r="F62" s="8" t="s">
        <v>191</v>
      </c>
      <c r="G62" s="8" t="s">
        <v>191</v>
      </c>
      <c r="H62" s="8" t="s">
        <v>192</v>
      </c>
      <c r="I62" s="8" t="s">
        <v>192</v>
      </c>
      <c r="J62" s="8" t="s">
        <v>193</v>
      </c>
      <c r="K62" s="8" t="s">
        <v>193</v>
      </c>
      <c r="L62" s="20" t="s">
        <v>156</v>
      </c>
    </row>
    <row r="63" ht="46" customHeight="1" spans="1:12">
      <c r="A63" s="7" t="s">
        <v>189</v>
      </c>
      <c r="B63" s="8" t="s">
        <v>189</v>
      </c>
      <c r="C63" s="8" t="s">
        <v>194</v>
      </c>
      <c r="D63" s="8" t="s">
        <v>194</v>
      </c>
      <c r="E63" s="8" t="s">
        <v>195</v>
      </c>
      <c r="F63" s="8" t="s">
        <v>195</v>
      </c>
      <c r="G63" s="8" t="s">
        <v>195</v>
      </c>
      <c r="H63" s="8" t="s">
        <v>196</v>
      </c>
      <c r="I63" s="8" t="s">
        <v>196</v>
      </c>
      <c r="J63" s="8" t="s">
        <v>197</v>
      </c>
      <c r="K63" s="8" t="s">
        <v>197</v>
      </c>
      <c r="L63" s="20" t="s">
        <v>156</v>
      </c>
    </row>
    <row r="64" ht="46" customHeight="1" spans="1:12">
      <c r="A64" s="7" t="s">
        <v>189</v>
      </c>
      <c r="B64" s="8" t="s">
        <v>189</v>
      </c>
      <c r="C64" s="8" t="s">
        <v>198</v>
      </c>
      <c r="D64" s="8" t="s">
        <v>198</v>
      </c>
      <c r="E64" s="8" t="s">
        <v>199</v>
      </c>
      <c r="F64" s="8" t="s">
        <v>199</v>
      </c>
      <c r="G64" s="8" t="s">
        <v>199</v>
      </c>
      <c r="H64" s="8" t="s">
        <v>200</v>
      </c>
      <c r="I64" s="8" t="s">
        <v>200</v>
      </c>
      <c r="J64" s="8" t="s">
        <v>201</v>
      </c>
      <c r="K64" s="8" t="s">
        <v>201</v>
      </c>
      <c r="L64" s="20" t="s">
        <v>156</v>
      </c>
    </row>
    <row r="67" ht="28" customHeight="1" spans="1:12">
      <c r="A67" s="23" t="s">
        <v>202</v>
      </c>
      <c r="B67" s="23" t="s">
        <v>202</v>
      </c>
      <c r="C67" s="23" t="s">
        <v>202</v>
      </c>
      <c r="D67" s="23" t="s">
        <v>202</v>
      </c>
      <c r="E67" s="23" t="s">
        <v>202</v>
      </c>
      <c r="F67" s="23" t="s">
        <v>202</v>
      </c>
      <c r="G67" s="23" t="s">
        <v>202</v>
      </c>
      <c r="H67" s="23" t="s">
        <v>202</v>
      </c>
      <c r="I67" s="23" t="s">
        <v>202</v>
      </c>
      <c r="J67" s="23" t="s">
        <v>202</v>
      </c>
      <c r="K67" s="23" t="s">
        <v>202</v>
      </c>
      <c r="L67" s="23" t="s">
        <v>202</v>
      </c>
    </row>
    <row r="68" ht="32" customHeight="1" spans="1:12">
      <c r="A68" s="6" t="s">
        <v>47</v>
      </c>
      <c r="B68" s="6" t="s">
        <v>203</v>
      </c>
      <c r="C68" s="6" t="s">
        <v>203</v>
      </c>
      <c r="D68" s="6" t="s">
        <v>204</v>
      </c>
      <c r="E68" s="6" t="s">
        <v>204</v>
      </c>
      <c r="F68" s="6" t="s">
        <v>204</v>
      </c>
      <c r="G68" s="6" t="s">
        <v>204</v>
      </c>
      <c r="H68" s="6" t="s">
        <v>205</v>
      </c>
      <c r="I68" s="6" t="s">
        <v>205</v>
      </c>
      <c r="J68" s="6" t="s">
        <v>205</v>
      </c>
      <c r="K68" s="6" t="s">
        <v>206</v>
      </c>
      <c r="L68" s="6" t="s">
        <v>206</v>
      </c>
    </row>
    <row r="69" ht="46" customHeight="1" spans="1:12">
      <c r="A69" s="7">
        <v>1</v>
      </c>
      <c r="B69" s="8" t="s">
        <v>207</v>
      </c>
      <c r="C69" s="8" t="s">
        <v>207</v>
      </c>
      <c r="D69" s="8" t="s">
        <v>208</v>
      </c>
      <c r="E69" s="8" t="s">
        <v>208</v>
      </c>
      <c r="F69" s="8" t="s">
        <v>208</v>
      </c>
      <c r="G69" s="8" t="s">
        <v>208</v>
      </c>
      <c r="H69" s="8" t="s">
        <v>209</v>
      </c>
      <c r="I69" s="8" t="s">
        <v>209</v>
      </c>
      <c r="J69" s="8" t="s">
        <v>209</v>
      </c>
      <c r="K69" s="8" t="s">
        <v>210</v>
      </c>
      <c r="L69" s="20" t="s">
        <v>210</v>
      </c>
    </row>
    <row r="70" ht="46" customHeight="1" spans="1:12">
      <c r="A70" s="7">
        <v>2</v>
      </c>
      <c r="B70" s="8" t="s">
        <v>211</v>
      </c>
      <c r="C70" s="8" t="s">
        <v>211</v>
      </c>
      <c r="D70" s="8" t="s">
        <v>212</v>
      </c>
      <c r="E70" s="8" t="s">
        <v>212</v>
      </c>
      <c r="F70" s="8" t="s">
        <v>212</v>
      </c>
      <c r="G70" s="8" t="s">
        <v>212</v>
      </c>
      <c r="H70" s="8" t="s">
        <v>213</v>
      </c>
      <c r="I70" s="8" t="s">
        <v>213</v>
      </c>
      <c r="J70" s="8" t="s">
        <v>213</v>
      </c>
      <c r="K70" s="8" t="s">
        <v>214</v>
      </c>
      <c r="L70" s="20" t="s">
        <v>214</v>
      </c>
    </row>
    <row r="71" ht="46" customHeight="1" spans="1:12">
      <c r="A71" s="7">
        <v>3</v>
      </c>
      <c r="B71" s="8" t="s">
        <v>215</v>
      </c>
      <c r="C71" s="8" t="s">
        <v>215</v>
      </c>
      <c r="D71" s="8" t="s">
        <v>216</v>
      </c>
      <c r="E71" s="8" t="s">
        <v>216</v>
      </c>
      <c r="F71" s="8" t="s">
        <v>216</v>
      </c>
      <c r="G71" s="8" t="s">
        <v>216</v>
      </c>
      <c r="H71" s="8" t="s">
        <v>217</v>
      </c>
      <c r="I71" s="8" t="s">
        <v>217</v>
      </c>
      <c r="J71" s="8" t="s">
        <v>217</v>
      </c>
      <c r="K71" s="8" t="s">
        <v>218</v>
      </c>
      <c r="L71" s="20" t="s">
        <v>218</v>
      </c>
    </row>
    <row r="72" ht="46" customHeight="1" spans="1:12">
      <c r="A72" s="7">
        <v>4</v>
      </c>
      <c r="B72" s="8" t="s">
        <v>219</v>
      </c>
      <c r="C72" s="8" t="s">
        <v>219</v>
      </c>
      <c r="D72" s="8" t="s">
        <v>220</v>
      </c>
      <c r="E72" s="8" t="s">
        <v>220</v>
      </c>
      <c r="F72" s="8" t="s">
        <v>220</v>
      </c>
      <c r="G72" s="8" t="s">
        <v>220</v>
      </c>
      <c r="H72" s="8" t="s">
        <v>221</v>
      </c>
      <c r="I72" s="8" t="s">
        <v>221</v>
      </c>
      <c r="J72" s="8" t="s">
        <v>221</v>
      </c>
      <c r="K72" s="8" t="s">
        <v>222</v>
      </c>
      <c r="L72" s="20" t="s">
        <v>222</v>
      </c>
    </row>
    <row r="73" ht="46" customHeight="1" spans="1:12">
      <c r="A73" s="7">
        <v>5</v>
      </c>
      <c r="B73" s="8" t="s">
        <v>223</v>
      </c>
      <c r="C73" s="8" t="s">
        <v>223</v>
      </c>
      <c r="D73" s="8" t="s">
        <v>224</v>
      </c>
      <c r="E73" s="8" t="s">
        <v>224</v>
      </c>
      <c r="F73" s="8" t="s">
        <v>224</v>
      </c>
      <c r="G73" s="8" t="s">
        <v>224</v>
      </c>
      <c r="H73" s="8" t="s">
        <v>225</v>
      </c>
      <c r="I73" s="8" t="s">
        <v>225</v>
      </c>
      <c r="J73" s="8" t="s">
        <v>225</v>
      </c>
      <c r="K73" s="8" t="s">
        <v>226</v>
      </c>
      <c r="L73" s="20" t="s">
        <v>226</v>
      </c>
    </row>
    <row r="74" ht="46" customHeight="1" spans="1:12">
      <c r="A74" s="7">
        <v>6</v>
      </c>
      <c r="B74" s="8" t="s">
        <v>227</v>
      </c>
      <c r="C74" s="8" t="s">
        <v>227</v>
      </c>
      <c r="D74" s="8" t="s">
        <v>228</v>
      </c>
      <c r="E74" s="8" t="s">
        <v>228</v>
      </c>
      <c r="F74" s="8" t="s">
        <v>228</v>
      </c>
      <c r="G74" s="8" t="s">
        <v>228</v>
      </c>
      <c r="H74" s="8" t="s">
        <v>229</v>
      </c>
      <c r="I74" s="8" t="s">
        <v>229</v>
      </c>
      <c r="J74" s="8" t="s">
        <v>229</v>
      </c>
      <c r="K74" s="8" t="s">
        <v>230</v>
      </c>
      <c r="L74" s="20" t="s">
        <v>230</v>
      </c>
    </row>
    <row r="75" ht="46" customHeight="1" spans="1:12">
      <c r="A75" s="7">
        <v>7</v>
      </c>
      <c r="B75" s="8" t="s">
        <v>231</v>
      </c>
      <c r="C75" s="8" t="s">
        <v>231</v>
      </c>
      <c r="D75" s="8" t="s">
        <v>232</v>
      </c>
      <c r="E75" s="8" t="s">
        <v>232</v>
      </c>
      <c r="F75" s="8" t="s">
        <v>232</v>
      </c>
      <c r="G75" s="8" t="s">
        <v>232</v>
      </c>
      <c r="H75" s="8" t="s">
        <v>233</v>
      </c>
      <c r="I75" s="8" t="s">
        <v>233</v>
      </c>
      <c r="J75" s="8" t="s">
        <v>233</v>
      </c>
      <c r="K75" s="8" t="s">
        <v>234</v>
      </c>
      <c r="L75" s="20" t="s">
        <v>234</v>
      </c>
    </row>
    <row r="76" ht="46" customHeight="1" spans="1:12">
      <c r="A76" s="7">
        <v>8</v>
      </c>
      <c r="B76" s="8" t="s">
        <v>235</v>
      </c>
      <c r="C76" s="8" t="s">
        <v>235</v>
      </c>
      <c r="D76" s="8" t="s">
        <v>236</v>
      </c>
      <c r="E76" s="8" t="s">
        <v>236</v>
      </c>
      <c r="F76" s="8" t="s">
        <v>236</v>
      </c>
      <c r="G76" s="8" t="s">
        <v>236</v>
      </c>
      <c r="H76" s="8" t="s">
        <v>237</v>
      </c>
      <c r="I76" s="8" t="s">
        <v>237</v>
      </c>
      <c r="J76" s="8" t="s">
        <v>237</v>
      </c>
      <c r="K76" s="8" t="s">
        <v>238</v>
      </c>
      <c r="L76" s="20" t="s">
        <v>238</v>
      </c>
    </row>
    <row r="78" ht="28" customHeight="1" spans="1:12">
      <c r="A78" s="23" t="s">
        <v>239</v>
      </c>
      <c r="B78" s="23" t="s">
        <v>239</v>
      </c>
      <c r="C78" s="23" t="s">
        <v>239</v>
      </c>
      <c r="D78" s="23" t="s">
        <v>239</v>
      </c>
      <c r="E78" s="23" t="s">
        <v>239</v>
      </c>
      <c r="F78" s="23" t="s">
        <v>239</v>
      </c>
      <c r="G78" s="23" t="s">
        <v>239</v>
      </c>
      <c r="H78" s="23" t="s">
        <v>239</v>
      </c>
      <c r="I78" s="23" t="s">
        <v>239</v>
      </c>
      <c r="J78" s="23" t="s">
        <v>239</v>
      </c>
      <c r="K78" s="23" t="s">
        <v>239</v>
      </c>
      <c r="L78" s="23" t="s">
        <v>239</v>
      </c>
    </row>
    <row r="79" ht="32" customHeight="1" spans="1:12">
      <c r="A79" s="6" t="s">
        <v>240</v>
      </c>
      <c r="B79" s="6" t="s">
        <v>240</v>
      </c>
      <c r="C79" s="6" t="s">
        <v>241</v>
      </c>
      <c r="D79" s="6" t="s">
        <v>241</v>
      </c>
      <c r="E79" s="6" t="s">
        <v>241</v>
      </c>
      <c r="F79" s="6" t="s">
        <v>241</v>
      </c>
      <c r="G79" s="6" t="s">
        <v>242</v>
      </c>
      <c r="H79" s="6" t="s">
        <v>242</v>
      </c>
      <c r="I79" s="6" t="s">
        <v>243</v>
      </c>
      <c r="J79" s="6" t="s">
        <v>243</v>
      </c>
      <c r="K79" s="6" t="s">
        <v>244</v>
      </c>
      <c r="L79" s="6" t="s">
        <v>244</v>
      </c>
    </row>
    <row r="80" ht="30" customHeight="1" spans="1:12">
      <c r="A80" s="7" t="s">
        <v>15</v>
      </c>
      <c r="B80" s="8" t="s">
        <v>15</v>
      </c>
      <c r="C80" s="25" t="s">
        <v>245</v>
      </c>
      <c r="D80" s="25" t="s">
        <v>245</v>
      </c>
      <c r="E80" s="25" t="s">
        <v>245</v>
      </c>
      <c r="F80" s="25" t="s">
        <v>245</v>
      </c>
      <c r="G80" s="25" t="s">
        <v>245</v>
      </c>
      <c r="H80" s="25" t="s">
        <v>245</v>
      </c>
      <c r="I80" s="25" t="s">
        <v>245</v>
      </c>
      <c r="J80" s="25" t="s">
        <v>245</v>
      </c>
      <c r="K80" s="25" t="s">
        <v>155</v>
      </c>
      <c r="L80" s="26" t="s">
        <v>155</v>
      </c>
    </row>
    <row r="81" ht="30" customHeight="1" spans="1:12">
      <c r="A81" s="7" t="s">
        <v>246</v>
      </c>
      <c r="B81" s="8" t="s">
        <v>246</v>
      </c>
      <c r="C81" s="25" t="s">
        <v>245</v>
      </c>
      <c r="D81" s="25" t="s">
        <v>245</v>
      </c>
      <c r="E81" s="25" t="s">
        <v>245</v>
      </c>
      <c r="F81" s="25" t="s">
        <v>245</v>
      </c>
      <c r="G81" s="25" t="s">
        <v>245</v>
      </c>
      <c r="H81" s="25" t="s">
        <v>245</v>
      </c>
      <c r="I81" s="25" t="s">
        <v>245</v>
      </c>
      <c r="J81" s="25" t="s">
        <v>245</v>
      </c>
      <c r="K81" s="25" t="s">
        <v>155</v>
      </c>
      <c r="L81" s="26" t="s">
        <v>155</v>
      </c>
    </row>
    <row r="82" ht="30" customHeight="1" spans="1:12">
      <c r="A82" s="7" t="s">
        <v>247</v>
      </c>
      <c r="B82" s="8" t="s">
        <v>247</v>
      </c>
      <c r="C82" s="25" t="s">
        <v>245</v>
      </c>
      <c r="D82" s="25" t="s">
        <v>245</v>
      </c>
      <c r="E82" s="25" t="s">
        <v>245</v>
      </c>
      <c r="F82" s="25" t="s">
        <v>245</v>
      </c>
      <c r="G82" s="25" t="s">
        <v>245</v>
      </c>
      <c r="H82" s="25" t="s">
        <v>245</v>
      </c>
      <c r="I82" s="25" t="s">
        <v>245</v>
      </c>
      <c r="J82" s="25" t="s">
        <v>245</v>
      </c>
      <c r="K82" s="25" t="s">
        <v>155</v>
      </c>
      <c r="L82" s="26" t="s">
        <v>155</v>
      </c>
    </row>
    <row r="83" ht="30" customHeight="1" spans="1:12">
      <c r="A83" s="7" t="s">
        <v>248</v>
      </c>
      <c r="B83" s="8" t="s">
        <v>248</v>
      </c>
      <c r="C83" s="25" t="s">
        <v>245</v>
      </c>
      <c r="D83" s="25" t="s">
        <v>245</v>
      </c>
      <c r="E83" s="25" t="s">
        <v>245</v>
      </c>
      <c r="F83" s="25" t="s">
        <v>245</v>
      </c>
      <c r="G83" s="25" t="s">
        <v>245</v>
      </c>
      <c r="H83" s="25" t="s">
        <v>245</v>
      </c>
      <c r="I83" s="25" t="s">
        <v>245</v>
      </c>
      <c r="J83" s="25" t="s">
        <v>245</v>
      </c>
      <c r="K83" s="25" t="s">
        <v>155</v>
      </c>
      <c r="L83" s="26" t="s">
        <v>155</v>
      </c>
    </row>
    <row r="84" ht="30" customHeight="1" spans="1:12">
      <c r="A84" s="7" t="s">
        <v>249</v>
      </c>
      <c r="B84" s="8" t="s">
        <v>249</v>
      </c>
      <c r="C84" s="25" t="s">
        <v>245</v>
      </c>
      <c r="D84" s="25" t="s">
        <v>245</v>
      </c>
      <c r="E84" s="25" t="s">
        <v>245</v>
      </c>
      <c r="F84" s="25" t="s">
        <v>245</v>
      </c>
      <c r="G84" s="25" t="s">
        <v>245</v>
      </c>
      <c r="H84" s="25" t="s">
        <v>245</v>
      </c>
      <c r="I84" s="25" t="s">
        <v>245</v>
      </c>
      <c r="J84" s="25" t="s">
        <v>245</v>
      </c>
      <c r="K84" s="25" t="s">
        <v>155</v>
      </c>
      <c r="L84" s="26" t="s">
        <v>155</v>
      </c>
    </row>
    <row r="85" ht="30" customHeight="1" spans="1:12">
      <c r="A85" s="7" t="s">
        <v>250</v>
      </c>
      <c r="B85" s="8" t="s">
        <v>250</v>
      </c>
      <c r="C85" s="25" t="s">
        <v>245</v>
      </c>
      <c r="D85" s="25" t="s">
        <v>245</v>
      </c>
      <c r="E85" s="25" t="s">
        <v>245</v>
      </c>
      <c r="F85" s="25" t="s">
        <v>245</v>
      </c>
      <c r="G85" s="25" t="s">
        <v>245</v>
      </c>
      <c r="H85" s="25" t="s">
        <v>245</v>
      </c>
      <c r="I85" s="25" t="s">
        <v>245</v>
      </c>
      <c r="J85" s="25" t="s">
        <v>245</v>
      </c>
      <c r="K85" s="25" t="s">
        <v>155</v>
      </c>
      <c r="L85" s="26" t="s">
        <v>155</v>
      </c>
    </row>
    <row r="86" ht="30" customHeight="1" spans="1:12">
      <c r="A86" s="7" t="s">
        <v>251</v>
      </c>
      <c r="B86" s="8" t="s">
        <v>251</v>
      </c>
      <c r="C86" s="25" t="s">
        <v>245</v>
      </c>
      <c r="D86" s="25" t="s">
        <v>245</v>
      </c>
      <c r="E86" s="25" t="s">
        <v>245</v>
      </c>
      <c r="F86" s="25" t="s">
        <v>245</v>
      </c>
      <c r="G86" s="25" t="s">
        <v>245</v>
      </c>
      <c r="H86" s="25" t="s">
        <v>245</v>
      </c>
      <c r="I86" s="25" t="s">
        <v>245</v>
      </c>
      <c r="J86" s="25" t="s">
        <v>245</v>
      </c>
      <c r="K86" s="25" t="s">
        <v>155</v>
      </c>
      <c r="L86" s="26" t="s">
        <v>155</v>
      </c>
    </row>
    <row r="87" ht="30" customHeight="1" spans="1:12">
      <c r="A87" s="7" t="s">
        <v>252</v>
      </c>
      <c r="B87" s="8" t="s">
        <v>252</v>
      </c>
      <c r="C87" s="25" t="s">
        <v>245</v>
      </c>
      <c r="D87" s="25" t="s">
        <v>245</v>
      </c>
      <c r="E87" s="25" t="s">
        <v>245</v>
      </c>
      <c r="F87" s="25" t="s">
        <v>245</v>
      </c>
      <c r="G87" s="25" t="s">
        <v>245</v>
      </c>
      <c r="H87" s="25" t="s">
        <v>245</v>
      </c>
      <c r="I87" s="25" t="s">
        <v>245</v>
      </c>
      <c r="J87" s="25" t="s">
        <v>245</v>
      </c>
      <c r="K87" s="25" t="s">
        <v>155</v>
      </c>
      <c r="L87" s="26" t="s">
        <v>155</v>
      </c>
    </row>
    <row r="88" ht="30" customHeight="1" spans="1:12">
      <c r="A88" s="7" t="s">
        <v>253</v>
      </c>
      <c r="B88" s="8" t="s">
        <v>253</v>
      </c>
      <c r="C88" s="25" t="s">
        <v>245</v>
      </c>
      <c r="D88" s="25" t="s">
        <v>245</v>
      </c>
      <c r="E88" s="25" t="s">
        <v>245</v>
      </c>
      <c r="F88" s="25" t="s">
        <v>245</v>
      </c>
      <c r="G88" s="25" t="s">
        <v>245</v>
      </c>
      <c r="H88" s="25" t="s">
        <v>245</v>
      </c>
      <c r="I88" s="25" t="s">
        <v>245</v>
      </c>
      <c r="J88" s="25" t="s">
        <v>245</v>
      </c>
      <c r="K88" s="25" t="s">
        <v>155</v>
      </c>
      <c r="L88" s="26" t="s">
        <v>155</v>
      </c>
    </row>
    <row r="91" ht="28" customHeight="1" spans="1:12">
      <c r="A91" s="23" t="s">
        <v>254</v>
      </c>
      <c r="B91" s="23" t="s">
        <v>254</v>
      </c>
      <c r="C91" s="23" t="s">
        <v>254</v>
      </c>
      <c r="D91" s="23" t="s">
        <v>254</v>
      </c>
      <c r="E91" s="23" t="s">
        <v>254</v>
      </c>
      <c r="F91" s="23" t="s">
        <v>254</v>
      </c>
      <c r="G91" s="23" t="s">
        <v>254</v>
      </c>
      <c r="H91" s="23" t="s">
        <v>254</v>
      </c>
      <c r="I91" s="23" t="s">
        <v>254</v>
      </c>
      <c r="J91" s="23" t="s">
        <v>254</v>
      </c>
      <c r="K91" s="23" t="s">
        <v>254</v>
      </c>
      <c r="L91" s="23" t="s">
        <v>254</v>
      </c>
    </row>
    <row r="92" ht="32" customHeight="1" spans="1:12">
      <c r="A92" s="6" t="s">
        <v>47</v>
      </c>
      <c r="B92" s="6" t="s">
        <v>255</v>
      </c>
      <c r="C92" s="6" t="s">
        <v>255</v>
      </c>
      <c r="D92" s="6" t="s">
        <v>255</v>
      </c>
      <c r="E92" s="6" t="s">
        <v>255</v>
      </c>
      <c r="F92" s="6" t="s">
        <v>256</v>
      </c>
      <c r="G92" s="6" t="s">
        <v>256</v>
      </c>
      <c r="H92" s="6" t="s">
        <v>256</v>
      </c>
      <c r="I92" s="6" t="s">
        <v>257</v>
      </c>
      <c r="J92" s="6" t="s">
        <v>257</v>
      </c>
      <c r="K92" s="6" t="s">
        <v>258</v>
      </c>
      <c r="L92" s="6" t="s">
        <v>258</v>
      </c>
    </row>
    <row r="93" ht="36" customHeight="1" spans="1:12">
      <c r="A93" s="7">
        <v>1</v>
      </c>
      <c r="B93" s="8" t="s">
        <v>259</v>
      </c>
      <c r="C93" s="8" t="s">
        <v>259</v>
      </c>
      <c r="D93" s="8" t="s">
        <v>259</v>
      </c>
      <c r="E93" s="8" t="s">
        <v>259</v>
      </c>
      <c r="F93" s="8" t="s">
        <v>260</v>
      </c>
      <c r="G93" s="8" t="s">
        <v>260</v>
      </c>
      <c r="H93" s="8" t="s">
        <v>260</v>
      </c>
      <c r="I93" s="8" t="s">
        <v>261</v>
      </c>
      <c r="J93" s="8" t="s">
        <v>261</v>
      </c>
      <c r="K93" s="25" t="s">
        <v>245</v>
      </c>
      <c r="L93" s="26" t="s">
        <v>245</v>
      </c>
    </row>
    <row r="94" ht="36" customHeight="1" spans="1:12">
      <c r="A94" s="7">
        <v>2</v>
      </c>
      <c r="B94" s="8" t="s">
        <v>262</v>
      </c>
      <c r="C94" s="8" t="s">
        <v>262</v>
      </c>
      <c r="D94" s="8" t="s">
        <v>262</v>
      </c>
      <c r="E94" s="8" t="s">
        <v>262</v>
      </c>
      <c r="F94" s="8" t="s">
        <v>263</v>
      </c>
      <c r="G94" s="8" t="s">
        <v>263</v>
      </c>
      <c r="H94" s="8" t="s">
        <v>263</v>
      </c>
      <c r="I94" s="8" t="s">
        <v>261</v>
      </c>
      <c r="J94" s="8" t="s">
        <v>261</v>
      </c>
      <c r="K94" s="25" t="s">
        <v>245</v>
      </c>
      <c r="L94" s="26" t="s">
        <v>245</v>
      </c>
    </row>
    <row r="95" ht="36" customHeight="1" spans="1:12">
      <c r="A95" s="7">
        <v>3</v>
      </c>
      <c r="B95" s="8" t="s">
        <v>264</v>
      </c>
      <c r="C95" s="8" t="s">
        <v>264</v>
      </c>
      <c r="D95" s="8" t="s">
        <v>264</v>
      </c>
      <c r="E95" s="8" t="s">
        <v>264</v>
      </c>
      <c r="F95" s="8" t="s">
        <v>265</v>
      </c>
      <c r="G95" s="8" t="s">
        <v>265</v>
      </c>
      <c r="H95" s="8" t="s">
        <v>265</v>
      </c>
      <c r="I95" s="8" t="s">
        <v>266</v>
      </c>
      <c r="J95" s="8" t="s">
        <v>266</v>
      </c>
      <c r="K95" s="25" t="s">
        <v>245</v>
      </c>
      <c r="L95" s="26" t="s">
        <v>245</v>
      </c>
    </row>
    <row r="96" ht="36" customHeight="1" spans="1:12">
      <c r="A96" s="7">
        <v>4</v>
      </c>
      <c r="B96" s="8" t="s">
        <v>267</v>
      </c>
      <c r="C96" s="8" t="s">
        <v>267</v>
      </c>
      <c r="D96" s="8" t="s">
        <v>267</v>
      </c>
      <c r="E96" s="8" t="s">
        <v>267</v>
      </c>
      <c r="F96" s="8" t="s">
        <v>268</v>
      </c>
      <c r="G96" s="8" t="s">
        <v>268</v>
      </c>
      <c r="H96" s="8" t="s">
        <v>268</v>
      </c>
      <c r="I96" s="8" t="s">
        <v>269</v>
      </c>
      <c r="J96" s="8" t="s">
        <v>269</v>
      </c>
      <c r="K96" s="25" t="s">
        <v>245</v>
      </c>
      <c r="L96" s="26" t="s">
        <v>245</v>
      </c>
    </row>
    <row r="97" ht="36" customHeight="1" spans="1:12">
      <c r="A97" s="7">
        <v>5</v>
      </c>
      <c r="B97" s="8" t="s">
        <v>270</v>
      </c>
      <c r="C97" s="8" t="s">
        <v>270</v>
      </c>
      <c r="D97" s="8" t="s">
        <v>270</v>
      </c>
      <c r="E97" s="8" t="s">
        <v>270</v>
      </c>
      <c r="F97" s="8" t="s">
        <v>271</v>
      </c>
      <c r="G97" s="8" t="s">
        <v>271</v>
      </c>
      <c r="H97" s="8" t="s">
        <v>271</v>
      </c>
      <c r="I97" s="8" t="s">
        <v>261</v>
      </c>
      <c r="J97" s="8" t="s">
        <v>261</v>
      </c>
      <c r="K97" s="25" t="s">
        <v>245</v>
      </c>
      <c r="L97" s="26" t="s">
        <v>245</v>
      </c>
    </row>
    <row r="98" ht="36" customHeight="1" spans="1:12">
      <c r="A98" s="7">
        <v>6</v>
      </c>
      <c r="B98" s="8" t="s">
        <v>272</v>
      </c>
      <c r="C98" s="8" t="s">
        <v>272</v>
      </c>
      <c r="D98" s="8" t="s">
        <v>272</v>
      </c>
      <c r="E98" s="8" t="s">
        <v>272</v>
      </c>
      <c r="F98" s="8" t="s">
        <v>273</v>
      </c>
      <c r="G98" s="8" t="s">
        <v>273</v>
      </c>
      <c r="H98" s="8" t="s">
        <v>273</v>
      </c>
      <c r="I98" s="8" t="s">
        <v>261</v>
      </c>
      <c r="J98" s="8" t="s">
        <v>261</v>
      </c>
      <c r="K98" s="25" t="s">
        <v>245</v>
      </c>
      <c r="L98" s="26" t="s">
        <v>245</v>
      </c>
    </row>
    <row r="99" ht="36" customHeight="1" spans="1:12">
      <c r="A99" s="7">
        <v>7</v>
      </c>
      <c r="B99" s="8" t="s">
        <v>274</v>
      </c>
      <c r="C99" s="8" t="s">
        <v>274</v>
      </c>
      <c r="D99" s="8" t="s">
        <v>274</v>
      </c>
      <c r="E99" s="8" t="s">
        <v>274</v>
      </c>
      <c r="F99" s="8" t="s">
        <v>275</v>
      </c>
      <c r="G99" s="8" t="s">
        <v>275</v>
      </c>
      <c r="H99" s="8" t="s">
        <v>275</v>
      </c>
      <c r="I99" s="8" t="s">
        <v>276</v>
      </c>
      <c r="J99" s="8" t="s">
        <v>276</v>
      </c>
      <c r="K99" s="25" t="s">
        <v>245</v>
      </c>
      <c r="L99" s="26" t="s">
        <v>245</v>
      </c>
    </row>
    <row r="100" ht="36" customHeight="1" spans="1:12">
      <c r="A100" s="7">
        <v>8</v>
      </c>
      <c r="B100" s="8" t="s">
        <v>277</v>
      </c>
      <c r="C100" s="8" t="s">
        <v>277</v>
      </c>
      <c r="D100" s="8" t="s">
        <v>277</v>
      </c>
      <c r="E100" s="8" t="s">
        <v>277</v>
      </c>
      <c r="F100" s="8" t="s">
        <v>278</v>
      </c>
      <c r="G100" s="8" t="s">
        <v>278</v>
      </c>
      <c r="H100" s="8" t="s">
        <v>278</v>
      </c>
      <c r="I100" s="8" t="s">
        <v>261</v>
      </c>
      <c r="J100" s="8" t="s">
        <v>261</v>
      </c>
      <c r="K100" s="25" t="s">
        <v>245</v>
      </c>
      <c r="L100" s="26" t="s">
        <v>245</v>
      </c>
    </row>
  </sheetData>
  <mergeCells count="334">
    <mergeCell ref="A1:L1"/>
    <mergeCell ref="A2:L2"/>
    <mergeCell ref="A4:L4"/>
    <mergeCell ref="A5:B5"/>
    <mergeCell ref="C5:H5"/>
    <mergeCell ref="I5:J5"/>
    <mergeCell ref="K5:L5"/>
    <mergeCell ref="A6:B6"/>
    <mergeCell ref="C6:H6"/>
    <mergeCell ref="I6:J6"/>
    <mergeCell ref="K6:L6"/>
    <mergeCell ref="A7:B7"/>
    <mergeCell ref="C7:H7"/>
    <mergeCell ref="I7:J7"/>
    <mergeCell ref="K7:L7"/>
    <mergeCell ref="A8:B8"/>
    <mergeCell ref="C8:H8"/>
    <mergeCell ref="I8:J8"/>
    <mergeCell ref="K8:L8"/>
    <mergeCell ref="A9:B9"/>
    <mergeCell ref="C9:H9"/>
    <mergeCell ref="I9:J9"/>
    <mergeCell ref="K9:L9"/>
    <mergeCell ref="A10:B10"/>
    <mergeCell ref="C10:H10"/>
    <mergeCell ref="I10:J10"/>
    <mergeCell ref="K10:L10"/>
    <mergeCell ref="A11:B11"/>
    <mergeCell ref="C11:H11"/>
    <mergeCell ref="I11:J11"/>
    <mergeCell ref="K11:L11"/>
    <mergeCell ref="A13:L13"/>
    <mergeCell ref="A14:B14"/>
    <mergeCell ref="C14:L14"/>
    <mergeCell ref="A15:B15"/>
    <mergeCell ref="C15:L15"/>
    <mergeCell ref="A16:B16"/>
    <mergeCell ref="C16:L16"/>
    <mergeCell ref="A17:B17"/>
    <mergeCell ref="C17:L17"/>
    <mergeCell ref="A18:B18"/>
    <mergeCell ref="C18:L18"/>
    <mergeCell ref="A19:B19"/>
    <mergeCell ref="C19:L19"/>
    <mergeCell ref="A20:B20"/>
    <mergeCell ref="C20:L20"/>
    <mergeCell ref="A21:L21"/>
    <mergeCell ref="B22:D22"/>
    <mergeCell ref="E22:I22"/>
    <mergeCell ref="J22:L22"/>
    <mergeCell ref="B23:D23"/>
    <mergeCell ref="E23:I23"/>
    <mergeCell ref="J23:L23"/>
    <mergeCell ref="B24:D24"/>
    <mergeCell ref="E24:I24"/>
    <mergeCell ref="J24:L24"/>
    <mergeCell ref="B25:D25"/>
    <mergeCell ref="E25:I25"/>
    <mergeCell ref="J25:L25"/>
    <mergeCell ref="B26:D26"/>
    <mergeCell ref="E26:I26"/>
    <mergeCell ref="J26:L26"/>
    <mergeCell ref="B27:D27"/>
    <mergeCell ref="E27:I27"/>
    <mergeCell ref="J27:L27"/>
    <mergeCell ref="A29:L29"/>
    <mergeCell ref="A30:B30"/>
    <mergeCell ref="C30:D30"/>
    <mergeCell ref="E30:G30"/>
    <mergeCell ref="H30:J30"/>
    <mergeCell ref="K30:L30"/>
    <mergeCell ref="A31:B31"/>
    <mergeCell ref="C31:D31"/>
    <mergeCell ref="E31:G31"/>
    <mergeCell ref="H31:J31"/>
    <mergeCell ref="K31:L31"/>
    <mergeCell ref="A32:B32"/>
    <mergeCell ref="C32:D32"/>
    <mergeCell ref="E32:G32"/>
    <mergeCell ref="H32:J32"/>
    <mergeCell ref="K32:L32"/>
    <mergeCell ref="A33:B33"/>
    <mergeCell ref="C33:D33"/>
    <mergeCell ref="E33:G33"/>
    <mergeCell ref="H33:J33"/>
    <mergeCell ref="K33:L33"/>
    <mergeCell ref="A34:B34"/>
    <mergeCell ref="C34:D34"/>
    <mergeCell ref="E34:G34"/>
    <mergeCell ref="H34:J34"/>
    <mergeCell ref="K34:L34"/>
    <mergeCell ref="A35:B35"/>
    <mergeCell ref="C35:D35"/>
    <mergeCell ref="E35:G35"/>
    <mergeCell ref="H35:J35"/>
    <mergeCell ref="K35:L35"/>
    <mergeCell ref="A36:B36"/>
    <mergeCell ref="C36:D36"/>
    <mergeCell ref="E36:G36"/>
    <mergeCell ref="H36:J36"/>
    <mergeCell ref="K36:L36"/>
    <mergeCell ref="A37:B37"/>
    <mergeCell ref="C37:D37"/>
    <mergeCell ref="E37:G37"/>
    <mergeCell ref="H37:J37"/>
    <mergeCell ref="K37:L37"/>
    <mergeCell ref="A39:L39"/>
    <mergeCell ref="A40:B40"/>
    <mergeCell ref="C40:F40"/>
    <mergeCell ref="G40:I40"/>
    <mergeCell ref="J40:L40"/>
    <mergeCell ref="A41:B41"/>
    <mergeCell ref="C41:F41"/>
    <mergeCell ref="G41:I41"/>
    <mergeCell ref="J41:L41"/>
    <mergeCell ref="A42:B42"/>
    <mergeCell ref="C42:F42"/>
    <mergeCell ref="G42:I42"/>
    <mergeCell ref="J42:L42"/>
    <mergeCell ref="A43:B43"/>
    <mergeCell ref="C43:F43"/>
    <mergeCell ref="G43:I43"/>
    <mergeCell ref="J43:L43"/>
    <mergeCell ref="A44:B44"/>
    <mergeCell ref="C44:F44"/>
    <mergeCell ref="G44:I44"/>
    <mergeCell ref="J44:L44"/>
    <mergeCell ref="A45:B45"/>
    <mergeCell ref="C45:F45"/>
    <mergeCell ref="G45:I45"/>
    <mergeCell ref="J45:L45"/>
    <mergeCell ref="A46:B46"/>
    <mergeCell ref="C46:F46"/>
    <mergeCell ref="G46:I46"/>
    <mergeCell ref="J46:L46"/>
    <mergeCell ref="A47:B47"/>
    <mergeCell ref="C47:F47"/>
    <mergeCell ref="G47:I47"/>
    <mergeCell ref="J47:L47"/>
    <mergeCell ref="A48:B48"/>
    <mergeCell ref="C48:F48"/>
    <mergeCell ref="G48:I48"/>
    <mergeCell ref="J48:L48"/>
    <mergeCell ref="A51:L51"/>
    <mergeCell ref="A52:B52"/>
    <mergeCell ref="C52:D52"/>
    <mergeCell ref="E52:G52"/>
    <mergeCell ref="H52:I52"/>
    <mergeCell ref="J52:K52"/>
    <mergeCell ref="A53:B53"/>
    <mergeCell ref="C53:D53"/>
    <mergeCell ref="E53:G53"/>
    <mergeCell ref="H53:I53"/>
    <mergeCell ref="J53:K53"/>
    <mergeCell ref="A54:B54"/>
    <mergeCell ref="C54:D54"/>
    <mergeCell ref="E54:G54"/>
    <mergeCell ref="H54:I54"/>
    <mergeCell ref="J54:K54"/>
    <mergeCell ref="A55:B55"/>
    <mergeCell ref="C55:D55"/>
    <mergeCell ref="E55:G55"/>
    <mergeCell ref="H55:I55"/>
    <mergeCell ref="J55:K55"/>
    <mergeCell ref="A56:B56"/>
    <mergeCell ref="C56:D56"/>
    <mergeCell ref="E56:G56"/>
    <mergeCell ref="H56:I56"/>
    <mergeCell ref="J56:K56"/>
    <mergeCell ref="A57:B57"/>
    <mergeCell ref="C57:D57"/>
    <mergeCell ref="E57:G57"/>
    <mergeCell ref="H57:I57"/>
    <mergeCell ref="J57:K57"/>
    <mergeCell ref="A58:B58"/>
    <mergeCell ref="C58:D58"/>
    <mergeCell ref="E58:G58"/>
    <mergeCell ref="H58:I58"/>
    <mergeCell ref="J58:K58"/>
    <mergeCell ref="A59:B59"/>
    <mergeCell ref="C59:D59"/>
    <mergeCell ref="E59:G59"/>
    <mergeCell ref="H59:I59"/>
    <mergeCell ref="J59:K59"/>
    <mergeCell ref="A60:B60"/>
    <mergeCell ref="C60:D60"/>
    <mergeCell ref="E60:G60"/>
    <mergeCell ref="H60:I60"/>
    <mergeCell ref="J60:K60"/>
    <mergeCell ref="A61:B61"/>
    <mergeCell ref="C61:D61"/>
    <mergeCell ref="E61:G61"/>
    <mergeCell ref="H61:I61"/>
    <mergeCell ref="J61:K61"/>
    <mergeCell ref="A62:B62"/>
    <mergeCell ref="C62:D62"/>
    <mergeCell ref="E62:G62"/>
    <mergeCell ref="H62:I62"/>
    <mergeCell ref="J62:K62"/>
    <mergeCell ref="A63:B63"/>
    <mergeCell ref="C63:D63"/>
    <mergeCell ref="E63:G63"/>
    <mergeCell ref="H63:I63"/>
    <mergeCell ref="J63:K63"/>
    <mergeCell ref="A64:B64"/>
    <mergeCell ref="C64:D64"/>
    <mergeCell ref="E64:G64"/>
    <mergeCell ref="H64:I64"/>
    <mergeCell ref="J64:K64"/>
    <mergeCell ref="A67:L67"/>
    <mergeCell ref="B68:C68"/>
    <mergeCell ref="D68:G68"/>
    <mergeCell ref="H68:J68"/>
    <mergeCell ref="K68:L68"/>
    <mergeCell ref="B69:C69"/>
    <mergeCell ref="D69:G69"/>
    <mergeCell ref="H69:J69"/>
    <mergeCell ref="K69:L69"/>
    <mergeCell ref="B70:C70"/>
    <mergeCell ref="D70:G70"/>
    <mergeCell ref="H70:J70"/>
    <mergeCell ref="K70:L70"/>
    <mergeCell ref="B71:C71"/>
    <mergeCell ref="D71:G71"/>
    <mergeCell ref="H71:J71"/>
    <mergeCell ref="K71:L71"/>
    <mergeCell ref="B72:C72"/>
    <mergeCell ref="D72:G72"/>
    <mergeCell ref="H72:J72"/>
    <mergeCell ref="K72:L72"/>
    <mergeCell ref="B73:C73"/>
    <mergeCell ref="D73:G73"/>
    <mergeCell ref="H73:J73"/>
    <mergeCell ref="K73:L73"/>
    <mergeCell ref="B74:C74"/>
    <mergeCell ref="D74:G74"/>
    <mergeCell ref="H74:J74"/>
    <mergeCell ref="K74:L74"/>
    <mergeCell ref="B75:C75"/>
    <mergeCell ref="D75:G75"/>
    <mergeCell ref="H75:J75"/>
    <mergeCell ref="K75:L75"/>
    <mergeCell ref="B76:C76"/>
    <mergeCell ref="D76:G76"/>
    <mergeCell ref="H76:J76"/>
    <mergeCell ref="K76:L76"/>
    <mergeCell ref="A78:L78"/>
    <mergeCell ref="A79:B79"/>
    <mergeCell ref="C79:F79"/>
    <mergeCell ref="G79:H79"/>
    <mergeCell ref="I79:J79"/>
    <mergeCell ref="K79:L79"/>
    <mergeCell ref="A80:B80"/>
    <mergeCell ref="C80:F80"/>
    <mergeCell ref="G80:H80"/>
    <mergeCell ref="I80:J80"/>
    <mergeCell ref="K80:L80"/>
    <mergeCell ref="A81:B81"/>
    <mergeCell ref="C81:F81"/>
    <mergeCell ref="G81:H81"/>
    <mergeCell ref="I81:J81"/>
    <mergeCell ref="K81:L81"/>
    <mergeCell ref="A82:B82"/>
    <mergeCell ref="C82:F82"/>
    <mergeCell ref="G82:H82"/>
    <mergeCell ref="I82:J82"/>
    <mergeCell ref="K82:L82"/>
    <mergeCell ref="A83:B83"/>
    <mergeCell ref="C83:F83"/>
    <mergeCell ref="G83:H83"/>
    <mergeCell ref="I83:J83"/>
    <mergeCell ref="K83:L83"/>
    <mergeCell ref="A84:B84"/>
    <mergeCell ref="C84:F84"/>
    <mergeCell ref="G84:H84"/>
    <mergeCell ref="I84:J84"/>
    <mergeCell ref="K84:L84"/>
    <mergeCell ref="A85:B85"/>
    <mergeCell ref="C85:F85"/>
    <mergeCell ref="G85:H85"/>
    <mergeCell ref="I85:J85"/>
    <mergeCell ref="K85:L85"/>
    <mergeCell ref="A86:B86"/>
    <mergeCell ref="C86:F86"/>
    <mergeCell ref="G86:H86"/>
    <mergeCell ref="I86:J86"/>
    <mergeCell ref="K86:L86"/>
    <mergeCell ref="A87:B87"/>
    <mergeCell ref="C87:F87"/>
    <mergeCell ref="G87:H87"/>
    <mergeCell ref="I87:J87"/>
    <mergeCell ref="K87:L87"/>
    <mergeCell ref="A88:B88"/>
    <mergeCell ref="C88:F88"/>
    <mergeCell ref="G88:H88"/>
    <mergeCell ref="I88:J88"/>
    <mergeCell ref="K88:L88"/>
    <mergeCell ref="A91:L91"/>
    <mergeCell ref="B92:E92"/>
    <mergeCell ref="F92:H92"/>
    <mergeCell ref="I92:J92"/>
    <mergeCell ref="K92:L92"/>
    <mergeCell ref="B93:E93"/>
    <mergeCell ref="F93:H93"/>
    <mergeCell ref="I93:J93"/>
    <mergeCell ref="K93:L93"/>
    <mergeCell ref="B94:E94"/>
    <mergeCell ref="F94:H94"/>
    <mergeCell ref="I94:J94"/>
    <mergeCell ref="K94:L94"/>
    <mergeCell ref="B95:E95"/>
    <mergeCell ref="F95:H95"/>
    <mergeCell ref="I95:J95"/>
    <mergeCell ref="K95:L95"/>
    <mergeCell ref="B96:E96"/>
    <mergeCell ref="F96:H96"/>
    <mergeCell ref="I96:J96"/>
    <mergeCell ref="K96:L96"/>
    <mergeCell ref="B97:E97"/>
    <mergeCell ref="F97:H97"/>
    <mergeCell ref="I97:J97"/>
    <mergeCell ref="K97:L97"/>
    <mergeCell ref="B98:E98"/>
    <mergeCell ref="F98:H98"/>
    <mergeCell ref="I98:J98"/>
    <mergeCell ref="K98:L98"/>
    <mergeCell ref="B99:E99"/>
    <mergeCell ref="F99:H99"/>
    <mergeCell ref="I99:J99"/>
    <mergeCell ref="K99:L99"/>
    <mergeCell ref="B100:E100"/>
    <mergeCell ref="F100:H100"/>
    <mergeCell ref="I100:J100"/>
    <mergeCell ref="K100:L100"/>
  </mergeCells>
  <conditionalFormatting sqref="L53:L80">
    <cfRule type="containsText" dxfId="0" priority="1" operator="between" text="已完成">
      <formula>NOT(ISERROR(SEARCH("已完成",L53)))</formula>
    </cfRule>
    <cfRule type="containsText" dxfId="1" priority="2" operator="between" text="进行中">
      <formula>NOT(ISERROR(SEARCH("进行中",L53)))</formula>
    </cfRule>
    <cfRule type="containsText" dxfId="2" priority="3" operator="between" text="待确认">
      <formula>NOT(ISERROR(SEARCH("待确认",L53)))</formula>
    </cfRule>
    <cfRule type="containsText" dxfId="3" priority="4" operator="between" text="未开始">
      <formula>NOT(ISERROR(SEARCH("未开始",L53)))</formula>
    </cfRule>
    <cfRule type="containsText" dxfId="4" priority="5" operator="between" text="阻塞">
      <formula>NOT(ISERROR(SEARCH("阻塞",L53)))</formula>
    </cfRule>
  </conditionalFormatting>
  <dataValidations count="1">
    <dataValidation type="list" sqref="L53:L80">
      <formula1>"待定,已确认,调整中,取消"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15"/>
  <sheetViews>
    <sheetView showGridLines="0" tabSelected="1" zoomScale="88" zoomScaleNormal="88" workbookViewId="0">
      <selection activeCell="F13" sqref="F13"/>
    </sheetView>
  </sheetViews>
  <sheetFormatPr defaultColWidth="9.90825688073394" defaultRowHeight="13.05"/>
  <cols>
    <col min="1" max="1" width="8" customWidth="1"/>
    <col min="2" max="2" width="18" customWidth="1"/>
    <col min="3" max="3" width="36" customWidth="1"/>
    <col min="4" max="4" width="21" customWidth="1"/>
    <col min="5" max="5" width="24" customWidth="1"/>
    <col min="6" max="6" width="32" customWidth="1"/>
    <col min="7" max="7" width="13" customWidth="1"/>
    <col min="8" max="8" width="12" customWidth="1"/>
    <col min="9" max="9" width="13" customWidth="1"/>
    <col min="10" max="10" width="10" customWidth="1"/>
    <col min="11" max="11" width="27" customWidth="1"/>
    <col min="12" max="12" width="38" customWidth="1"/>
    <col min="13" max="13" width="25" customWidth="1"/>
  </cols>
  <sheetData>
    <row r="1" ht="36" customHeight="1" spans="1:13">
      <c r="A1" s="1" t="s">
        <v>279</v>
      </c>
      <c r="B1" s="1" t="s">
        <v>279</v>
      </c>
      <c r="C1" s="1" t="s">
        <v>279</v>
      </c>
      <c r="D1" s="1" t="s">
        <v>279</v>
      </c>
      <c r="E1" s="1" t="s">
        <v>279</v>
      </c>
      <c r="F1" s="1" t="s">
        <v>279</v>
      </c>
      <c r="G1" s="1" t="s">
        <v>279</v>
      </c>
      <c r="H1" s="1" t="s">
        <v>279</v>
      </c>
      <c r="I1" s="1" t="s">
        <v>279</v>
      </c>
      <c r="J1" s="1" t="s">
        <v>279</v>
      </c>
      <c r="K1" s="1" t="s">
        <v>279</v>
      </c>
      <c r="L1" s="1" t="s">
        <v>279</v>
      </c>
      <c r="M1" s="1" t="s">
        <v>279</v>
      </c>
    </row>
    <row r="2" ht="26" customHeight="1" spans="1:13">
      <c r="A2" s="2" t="s">
        <v>280</v>
      </c>
      <c r="B2" s="2" t="s">
        <v>280</v>
      </c>
      <c r="C2" s="2" t="s">
        <v>280</v>
      </c>
      <c r="D2" s="2" t="s">
        <v>280</v>
      </c>
      <c r="E2" s="2" t="s">
        <v>280</v>
      </c>
      <c r="F2" s="2" t="s">
        <v>280</v>
      </c>
      <c r="G2" s="2" t="s">
        <v>280</v>
      </c>
      <c r="H2" s="2" t="s">
        <v>280</v>
      </c>
      <c r="I2" s="2" t="s">
        <v>280</v>
      </c>
      <c r="J2" s="2" t="s">
        <v>280</v>
      </c>
      <c r="K2" s="2" t="s">
        <v>280</v>
      </c>
      <c r="L2" s="2" t="s">
        <v>280</v>
      </c>
      <c r="M2" s="2" t="s">
        <v>280</v>
      </c>
    </row>
    <row r="4" ht="14" spans="1:13">
      <c r="A4" s="3" t="s">
        <v>281</v>
      </c>
      <c r="B4" s="4">
        <f>COUNTIFS(C7:C115,"&lt;&gt;",C7:C115,"&lt;&gt;补充任务（空白）")</f>
        <v>87</v>
      </c>
      <c r="C4" s="3" t="s">
        <v>282</v>
      </c>
      <c r="D4" s="4">
        <f>COUNT(G7:G115)</f>
        <v>87</v>
      </c>
      <c r="E4" s="3" t="s">
        <v>283</v>
      </c>
      <c r="F4" s="4">
        <f>COUNTIF(I7:I180,"已完成")</f>
        <v>0</v>
      </c>
      <c r="G4" s="3" t="s">
        <v>284</v>
      </c>
      <c r="H4" s="12">
        <f>IFERROR(AVERAGE(H7:H180),0)</f>
        <v>0.0321100917431193</v>
      </c>
      <c r="I4" s="19" t="s">
        <v>285</v>
      </c>
      <c r="J4" s="19" t="s">
        <v>285</v>
      </c>
      <c r="K4" s="19" t="s">
        <v>285</v>
      </c>
      <c r="L4" s="19" t="s">
        <v>285</v>
      </c>
      <c r="M4" s="19" t="s">
        <v>285</v>
      </c>
    </row>
    <row r="5" ht="28" customHeight="1" spans="1:13">
      <c r="A5" s="5" t="s">
        <v>286</v>
      </c>
      <c r="B5" s="5" t="s">
        <v>286</v>
      </c>
      <c r="C5" s="5" t="s">
        <v>286</v>
      </c>
      <c r="D5" s="5" t="s">
        <v>286</v>
      </c>
      <c r="E5" s="5" t="s">
        <v>286</v>
      </c>
      <c r="F5" s="5" t="s">
        <v>286</v>
      </c>
      <c r="G5" s="5" t="s">
        <v>286</v>
      </c>
      <c r="H5" s="5" t="s">
        <v>286</v>
      </c>
      <c r="I5" s="5" t="s">
        <v>286</v>
      </c>
      <c r="J5" s="5" t="s">
        <v>286</v>
      </c>
      <c r="K5" s="5" t="s">
        <v>286</v>
      </c>
      <c r="L5" s="5" t="s">
        <v>286</v>
      </c>
      <c r="M5" s="5" t="s">
        <v>286</v>
      </c>
    </row>
    <row r="6" ht="32" customHeight="1" spans="1:13">
      <c r="A6" s="6" t="s">
        <v>47</v>
      </c>
      <c r="B6" s="6" t="s">
        <v>287</v>
      </c>
      <c r="C6" s="6" t="s">
        <v>288</v>
      </c>
      <c r="D6" s="6" t="s">
        <v>289</v>
      </c>
      <c r="E6" s="6" t="s">
        <v>290</v>
      </c>
      <c r="F6" s="6" t="s">
        <v>291</v>
      </c>
      <c r="G6" s="6" t="s">
        <v>292</v>
      </c>
      <c r="H6" s="6" t="s">
        <v>293</v>
      </c>
      <c r="I6" s="6" t="s">
        <v>150</v>
      </c>
      <c r="J6" s="6" t="s">
        <v>294</v>
      </c>
      <c r="K6" s="6" t="s">
        <v>295</v>
      </c>
      <c r="L6" s="6" t="s">
        <v>296</v>
      </c>
      <c r="M6" s="6" t="s">
        <v>297</v>
      </c>
    </row>
    <row r="7" ht="28" spans="1:13">
      <c r="A7" s="7">
        <v>1</v>
      </c>
      <c r="B7" s="8" t="s">
        <v>261</v>
      </c>
      <c r="C7" s="8" t="s">
        <v>298</v>
      </c>
      <c r="D7" s="8" t="s">
        <v>299</v>
      </c>
      <c r="E7" s="8" t="s">
        <v>300</v>
      </c>
      <c r="F7" s="8" t="s">
        <v>301</v>
      </c>
      <c r="G7" s="13">
        <v>46223.5</v>
      </c>
      <c r="H7" s="14">
        <v>0</v>
      </c>
      <c r="I7" s="8" t="s">
        <v>302</v>
      </c>
      <c r="J7" s="8" t="s">
        <v>303</v>
      </c>
      <c r="K7" s="8" t="s">
        <v>245</v>
      </c>
      <c r="L7" s="8" t="s">
        <v>304</v>
      </c>
      <c r="M7" s="20"/>
    </row>
    <row r="8" ht="14" spans="1:13">
      <c r="A8" s="9">
        <v>2</v>
      </c>
      <c r="B8" s="10" t="s">
        <v>261</v>
      </c>
      <c r="C8" s="10" t="s">
        <v>305</v>
      </c>
      <c r="D8" s="10" t="s">
        <v>261</v>
      </c>
      <c r="E8" s="10" t="s">
        <v>306</v>
      </c>
      <c r="F8" s="10" t="s">
        <v>307</v>
      </c>
      <c r="G8" s="15">
        <v>46224.5</v>
      </c>
      <c r="H8" s="16">
        <v>0.7</v>
      </c>
      <c r="I8" s="10" t="s">
        <v>302</v>
      </c>
      <c r="J8" s="10" t="s">
        <v>303</v>
      </c>
      <c r="K8" s="10" t="s">
        <v>245</v>
      </c>
      <c r="L8" s="10" t="s">
        <v>308</v>
      </c>
      <c r="M8" s="21"/>
    </row>
    <row r="9" ht="14" spans="1:13">
      <c r="A9" s="9">
        <v>3</v>
      </c>
      <c r="B9" s="10" t="s">
        <v>261</v>
      </c>
      <c r="C9" s="10" t="s">
        <v>309</v>
      </c>
      <c r="D9" s="10" t="s">
        <v>261</v>
      </c>
      <c r="E9" s="10" t="s">
        <v>300</v>
      </c>
      <c r="F9" s="10" t="s">
        <v>310</v>
      </c>
      <c r="G9" s="15">
        <v>46224.5</v>
      </c>
      <c r="H9" s="16">
        <v>0.3</v>
      </c>
      <c r="I9" s="10" t="s">
        <v>302</v>
      </c>
      <c r="J9" s="10" t="s">
        <v>303</v>
      </c>
      <c r="K9" s="10" t="s">
        <v>245</v>
      </c>
      <c r="L9" s="10" t="s">
        <v>311</v>
      </c>
      <c r="M9" s="21"/>
    </row>
    <row r="10" ht="14" spans="1:13">
      <c r="A10" s="9">
        <v>4</v>
      </c>
      <c r="B10" s="10" t="s">
        <v>261</v>
      </c>
      <c r="C10" s="10" t="s">
        <v>312</v>
      </c>
      <c r="D10" s="10" t="s">
        <v>261</v>
      </c>
      <c r="E10" s="10" t="s">
        <v>313</v>
      </c>
      <c r="F10" s="10" t="s">
        <v>314</v>
      </c>
      <c r="G10" s="15">
        <v>46225.5</v>
      </c>
      <c r="H10" s="16">
        <v>0</v>
      </c>
      <c r="I10" s="10" t="s">
        <v>302</v>
      </c>
      <c r="J10" s="10" t="s">
        <v>303</v>
      </c>
      <c r="K10" s="10" t="s">
        <v>245</v>
      </c>
      <c r="L10" s="10" t="s">
        <v>315</v>
      </c>
      <c r="M10" s="21"/>
    </row>
    <row r="11" ht="14" spans="1:13">
      <c r="A11" s="9">
        <v>5</v>
      </c>
      <c r="B11" s="10" t="s">
        <v>261</v>
      </c>
      <c r="C11" s="10" t="s">
        <v>316</v>
      </c>
      <c r="D11" s="10" t="s">
        <v>261</v>
      </c>
      <c r="E11" s="10" t="s">
        <v>317</v>
      </c>
      <c r="F11" s="10" t="s">
        <v>318</v>
      </c>
      <c r="G11" s="15">
        <v>46226.5</v>
      </c>
      <c r="H11" s="16">
        <v>0</v>
      </c>
      <c r="I11" s="10" t="s">
        <v>302</v>
      </c>
      <c r="J11" s="10" t="s">
        <v>303</v>
      </c>
      <c r="K11" s="10" t="s">
        <v>245</v>
      </c>
      <c r="L11" s="10" t="s">
        <v>319</v>
      </c>
      <c r="M11" s="21"/>
    </row>
    <row r="12" ht="28.35" spans="1:13">
      <c r="A12" s="9">
        <v>6</v>
      </c>
      <c r="B12" s="10" t="s">
        <v>261</v>
      </c>
      <c r="C12" s="10" t="s">
        <v>320</v>
      </c>
      <c r="D12" s="10" t="s">
        <v>261</v>
      </c>
      <c r="E12" s="10" t="s">
        <v>321</v>
      </c>
      <c r="F12" s="10" t="s">
        <v>322</v>
      </c>
      <c r="G12" s="15">
        <v>46249.5</v>
      </c>
      <c r="H12" s="16">
        <v>0</v>
      </c>
      <c r="I12" s="10" t="s">
        <v>302</v>
      </c>
      <c r="J12" s="10" t="s">
        <v>303</v>
      </c>
      <c r="K12" s="10" t="s">
        <v>245</v>
      </c>
      <c r="L12" s="10" t="s">
        <v>323</v>
      </c>
      <c r="M12" s="21" t="s">
        <v>324</v>
      </c>
    </row>
    <row r="13" ht="28" spans="1:13">
      <c r="A13" s="9">
        <v>7</v>
      </c>
      <c r="B13" s="10" t="s">
        <v>261</v>
      </c>
      <c r="C13" s="10" t="s">
        <v>325</v>
      </c>
      <c r="D13" s="10" t="s">
        <v>261</v>
      </c>
      <c r="E13" s="10" t="s">
        <v>326</v>
      </c>
      <c r="F13" s="10" t="s">
        <v>327</v>
      </c>
      <c r="G13" s="15">
        <v>46247.5</v>
      </c>
      <c r="H13" s="16">
        <v>0</v>
      </c>
      <c r="I13" s="10" t="s">
        <v>302</v>
      </c>
      <c r="J13" s="10" t="s">
        <v>303</v>
      </c>
      <c r="K13" s="10" t="s">
        <v>245</v>
      </c>
      <c r="L13" s="10" t="s">
        <v>328</v>
      </c>
      <c r="M13" s="21"/>
    </row>
    <row r="14" ht="14" spans="1:13">
      <c r="A14" s="9">
        <v>8</v>
      </c>
      <c r="B14" s="10" t="s">
        <v>261</v>
      </c>
      <c r="C14" s="11" t="s">
        <v>329</v>
      </c>
      <c r="D14" s="11" t="s">
        <v>245</v>
      </c>
      <c r="E14" s="11" t="s">
        <v>245</v>
      </c>
      <c r="F14" s="11" t="s">
        <v>245</v>
      </c>
      <c r="G14" s="17"/>
      <c r="H14" s="18">
        <v>0</v>
      </c>
      <c r="I14" s="11" t="s">
        <v>302</v>
      </c>
      <c r="J14" s="11" t="s">
        <v>245</v>
      </c>
      <c r="K14" s="11" t="s">
        <v>245</v>
      </c>
      <c r="L14" s="11" t="s">
        <v>245</v>
      </c>
      <c r="M14" s="22"/>
    </row>
    <row r="15" ht="14" spans="1:13">
      <c r="A15" s="9">
        <v>9</v>
      </c>
      <c r="B15" s="10" t="s">
        <v>261</v>
      </c>
      <c r="C15" s="11" t="s">
        <v>329</v>
      </c>
      <c r="D15" s="11" t="s">
        <v>245</v>
      </c>
      <c r="E15" s="11" t="s">
        <v>245</v>
      </c>
      <c r="F15" s="11" t="s">
        <v>245</v>
      </c>
      <c r="G15" s="17"/>
      <c r="H15" s="18">
        <v>0</v>
      </c>
      <c r="I15" s="11" t="s">
        <v>302</v>
      </c>
      <c r="J15" s="11" t="s">
        <v>245</v>
      </c>
      <c r="K15" s="11" t="s">
        <v>245</v>
      </c>
      <c r="L15" s="11" t="s">
        <v>245</v>
      </c>
      <c r="M15" s="22"/>
    </row>
    <row r="16" ht="14" spans="1:13">
      <c r="A16" s="9">
        <v>10</v>
      </c>
      <c r="B16" s="10" t="s">
        <v>330</v>
      </c>
      <c r="C16" s="10" t="s">
        <v>331</v>
      </c>
      <c r="D16" s="10" t="s">
        <v>18</v>
      </c>
      <c r="E16" s="10" t="s">
        <v>332</v>
      </c>
      <c r="F16" s="10" t="s">
        <v>333</v>
      </c>
      <c r="G16" s="15">
        <v>46223.5</v>
      </c>
      <c r="H16" s="16">
        <v>1</v>
      </c>
      <c r="I16" s="10" t="s">
        <v>302</v>
      </c>
      <c r="J16" s="10" t="s">
        <v>303</v>
      </c>
      <c r="K16" s="10" t="s">
        <v>245</v>
      </c>
      <c r="L16" s="10" t="s">
        <v>334</v>
      </c>
      <c r="M16" s="21"/>
    </row>
    <row r="17" ht="14" spans="1:13">
      <c r="A17" s="9">
        <v>11</v>
      </c>
      <c r="B17" s="10" t="s">
        <v>330</v>
      </c>
      <c r="C17" s="10" t="s">
        <v>335</v>
      </c>
      <c r="D17" s="10" t="s">
        <v>18</v>
      </c>
      <c r="E17" s="10" t="s">
        <v>336</v>
      </c>
      <c r="F17" s="10" t="s">
        <v>337</v>
      </c>
      <c r="G17" s="15">
        <v>46223.5</v>
      </c>
      <c r="H17" s="16">
        <v>1</v>
      </c>
      <c r="I17" s="10" t="s">
        <v>302</v>
      </c>
      <c r="J17" s="10" t="s">
        <v>303</v>
      </c>
      <c r="K17" s="10" t="s">
        <v>245</v>
      </c>
      <c r="L17" s="10" t="s">
        <v>338</v>
      </c>
      <c r="M17" s="21"/>
    </row>
    <row r="18" ht="14" spans="1:13">
      <c r="A18" s="9">
        <v>12</v>
      </c>
      <c r="B18" s="10" t="s">
        <v>330</v>
      </c>
      <c r="C18" s="10" t="s">
        <v>339</v>
      </c>
      <c r="D18" s="10" t="s">
        <v>18</v>
      </c>
      <c r="E18" s="10" t="s">
        <v>340</v>
      </c>
      <c r="F18" s="10" t="s">
        <v>341</v>
      </c>
      <c r="G18" s="15">
        <v>46223.5</v>
      </c>
      <c r="H18" s="16">
        <v>0.5</v>
      </c>
      <c r="I18" s="10" t="s">
        <v>302</v>
      </c>
      <c r="J18" s="10" t="s">
        <v>303</v>
      </c>
      <c r="K18" s="10" t="s">
        <v>245</v>
      </c>
      <c r="L18" s="10" t="s">
        <v>342</v>
      </c>
      <c r="M18" s="21"/>
    </row>
    <row r="19" ht="28.35" spans="1:13">
      <c r="A19" s="9">
        <v>13</v>
      </c>
      <c r="B19" s="10" t="s">
        <v>330</v>
      </c>
      <c r="C19" s="10" t="s">
        <v>343</v>
      </c>
      <c r="D19" s="10" t="s">
        <v>18</v>
      </c>
      <c r="E19" s="10" t="s">
        <v>344</v>
      </c>
      <c r="F19" s="10" t="s">
        <v>345</v>
      </c>
      <c r="G19" s="15">
        <v>46248.5</v>
      </c>
      <c r="H19" s="16">
        <v>0</v>
      </c>
      <c r="I19" s="10" t="s">
        <v>302</v>
      </c>
      <c r="J19" s="10" t="s">
        <v>303</v>
      </c>
      <c r="K19" s="10" t="s">
        <v>245</v>
      </c>
      <c r="L19" s="10" t="s">
        <v>346</v>
      </c>
      <c r="M19" s="21" t="s">
        <v>347</v>
      </c>
    </row>
    <row r="20" ht="28.35" spans="1:13">
      <c r="A20" s="9">
        <v>14</v>
      </c>
      <c r="B20" s="10" t="s">
        <v>330</v>
      </c>
      <c r="C20" s="10" t="s">
        <v>348</v>
      </c>
      <c r="D20" s="10" t="s">
        <v>18</v>
      </c>
      <c r="E20" s="10" t="s">
        <v>340</v>
      </c>
      <c r="F20" s="10" t="s">
        <v>349</v>
      </c>
      <c r="G20" s="15">
        <v>46248.5</v>
      </c>
      <c r="H20" s="16">
        <v>0</v>
      </c>
      <c r="I20" s="10" t="s">
        <v>302</v>
      </c>
      <c r="J20" s="10" t="s">
        <v>303</v>
      </c>
      <c r="K20" s="10" t="s">
        <v>245</v>
      </c>
      <c r="L20" s="10" t="s">
        <v>350</v>
      </c>
      <c r="M20" s="21" t="s">
        <v>351</v>
      </c>
    </row>
    <row r="21" ht="28.35" spans="1:13">
      <c r="A21" s="9">
        <v>15</v>
      </c>
      <c r="B21" s="10" t="s">
        <v>330</v>
      </c>
      <c r="C21" s="10" t="s">
        <v>352</v>
      </c>
      <c r="D21" s="10" t="s">
        <v>18</v>
      </c>
      <c r="E21" s="10" t="s">
        <v>353</v>
      </c>
      <c r="F21" s="10" t="s">
        <v>354</v>
      </c>
      <c r="G21" s="15">
        <v>46248.5</v>
      </c>
      <c r="H21" s="16">
        <v>0</v>
      </c>
      <c r="I21" s="10" t="s">
        <v>302</v>
      </c>
      <c r="J21" s="10" t="s">
        <v>303</v>
      </c>
      <c r="K21" s="10" t="s">
        <v>245</v>
      </c>
      <c r="L21" s="10" t="s">
        <v>355</v>
      </c>
      <c r="M21" s="21" t="s">
        <v>356</v>
      </c>
    </row>
    <row r="22" ht="14" spans="1:13">
      <c r="A22" s="9">
        <v>16</v>
      </c>
      <c r="B22" s="10" t="s">
        <v>330</v>
      </c>
      <c r="C22" s="10" t="s">
        <v>357</v>
      </c>
      <c r="D22" s="10" t="s">
        <v>18</v>
      </c>
      <c r="E22" s="10" t="s">
        <v>358</v>
      </c>
      <c r="F22" s="10" t="s">
        <v>359</v>
      </c>
      <c r="G22" s="15">
        <v>46247.5</v>
      </c>
      <c r="H22" s="16">
        <v>0</v>
      </c>
      <c r="I22" s="10" t="s">
        <v>302</v>
      </c>
      <c r="J22" s="10" t="s">
        <v>303</v>
      </c>
      <c r="K22" s="10" t="s">
        <v>245</v>
      </c>
      <c r="L22" s="10" t="s">
        <v>360</v>
      </c>
      <c r="M22" s="21"/>
    </row>
    <row r="23" ht="14" spans="1:13">
      <c r="A23" s="9">
        <v>17</v>
      </c>
      <c r="B23" s="10" t="s">
        <v>330</v>
      </c>
      <c r="C23" s="10" t="s">
        <v>361</v>
      </c>
      <c r="D23" s="10" t="s">
        <v>18</v>
      </c>
      <c r="E23" s="10" t="s">
        <v>362</v>
      </c>
      <c r="F23" s="10" t="s">
        <v>363</v>
      </c>
      <c r="G23" s="15">
        <v>46249.5</v>
      </c>
      <c r="H23" s="16">
        <v>0</v>
      </c>
      <c r="I23" s="10" t="s">
        <v>302</v>
      </c>
      <c r="J23" s="10" t="s">
        <v>303</v>
      </c>
      <c r="K23" s="10" t="s">
        <v>245</v>
      </c>
      <c r="L23" s="10" t="s">
        <v>364</v>
      </c>
      <c r="M23" s="21" t="s">
        <v>365</v>
      </c>
    </row>
    <row r="24" ht="14" spans="1:13">
      <c r="A24" s="9">
        <v>18</v>
      </c>
      <c r="B24" s="10" t="s">
        <v>330</v>
      </c>
      <c r="C24" s="11" t="s">
        <v>329</v>
      </c>
      <c r="D24" s="11" t="s">
        <v>245</v>
      </c>
      <c r="E24" s="11" t="s">
        <v>245</v>
      </c>
      <c r="F24" s="11" t="s">
        <v>245</v>
      </c>
      <c r="G24" s="17"/>
      <c r="H24" s="18">
        <v>0</v>
      </c>
      <c r="I24" s="11" t="s">
        <v>302</v>
      </c>
      <c r="J24" s="11" t="s">
        <v>245</v>
      </c>
      <c r="K24" s="11" t="s">
        <v>245</v>
      </c>
      <c r="L24" s="11" t="s">
        <v>245</v>
      </c>
      <c r="M24" s="22"/>
    </row>
    <row r="25" ht="14" spans="1:13">
      <c r="A25" s="9">
        <v>19</v>
      </c>
      <c r="B25" s="10" t="s">
        <v>330</v>
      </c>
      <c r="C25" s="11" t="s">
        <v>329</v>
      </c>
      <c r="D25" s="11" t="s">
        <v>245</v>
      </c>
      <c r="E25" s="11" t="s">
        <v>245</v>
      </c>
      <c r="F25" s="11" t="s">
        <v>245</v>
      </c>
      <c r="G25" s="17"/>
      <c r="H25" s="18">
        <v>0</v>
      </c>
      <c r="I25" s="11" t="s">
        <v>302</v>
      </c>
      <c r="J25" s="11" t="s">
        <v>245</v>
      </c>
      <c r="K25" s="11" t="s">
        <v>245</v>
      </c>
      <c r="L25" s="11" t="s">
        <v>245</v>
      </c>
      <c r="M25" s="22"/>
    </row>
    <row r="26" ht="14" spans="1:13">
      <c r="A26" s="9">
        <v>20</v>
      </c>
      <c r="B26" s="10" t="s">
        <v>366</v>
      </c>
      <c r="C26" s="10" t="s">
        <v>367</v>
      </c>
      <c r="D26" s="10" t="s">
        <v>155</v>
      </c>
      <c r="E26" s="10" t="s">
        <v>300</v>
      </c>
      <c r="F26" s="10" t="s">
        <v>368</v>
      </c>
      <c r="G26" s="15">
        <v>46229.5</v>
      </c>
      <c r="H26" s="16">
        <v>0</v>
      </c>
      <c r="I26" s="10" t="s">
        <v>302</v>
      </c>
      <c r="J26" s="10" t="s">
        <v>303</v>
      </c>
      <c r="K26" s="10" t="s">
        <v>245</v>
      </c>
      <c r="L26" s="10" t="s">
        <v>369</v>
      </c>
      <c r="M26" s="21"/>
    </row>
    <row r="27" ht="14" spans="1:13">
      <c r="A27" s="9">
        <v>21</v>
      </c>
      <c r="B27" s="10" t="s">
        <v>366</v>
      </c>
      <c r="C27" s="10" t="s">
        <v>370</v>
      </c>
      <c r="D27" s="10" t="s">
        <v>366</v>
      </c>
      <c r="E27" s="10" t="s">
        <v>371</v>
      </c>
      <c r="F27" s="10" t="s">
        <v>372</v>
      </c>
      <c r="G27" s="15">
        <v>46244.5</v>
      </c>
      <c r="H27" s="16">
        <v>0</v>
      </c>
      <c r="I27" s="10" t="s">
        <v>302</v>
      </c>
      <c r="J27" s="10" t="s">
        <v>303</v>
      </c>
      <c r="K27" s="10" t="s">
        <v>245</v>
      </c>
      <c r="L27" s="10" t="s">
        <v>373</v>
      </c>
      <c r="M27" s="21"/>
    </row>
    <row r="28" ht="14" spans="1:13">
      <c r="A28" s="9">
        <v>22</v>
      </c>
      <c r="B28" s="10" t="s">
        <v>366</v>
      </c>
      <c r="C28" s="10" t="s">
        <v>374</v>
      </c>
      <c r="D28" s="10" t="s">
        <v>366</v>
      </c>
      <c r="E28" s="10" t="s">
        <v>375</v>
      </c>
      <c r="F28" s="10" t="s">
        <v>376</v>
      </c>
      <c r="G28" s="15">
        <v>46242.5</v>
      </c>
      <c r="H28" s="16">
        <v>0</v>
      </c>
      <c r="I28" s="10" t="s">
        <v>302</v>
      </c>
      <c r="J28" s="10" t="s">
        <v>377</v>
      </c>
      <c r="K28" s="10" t="s">
        <v>245</v>
      </c>
      <c r="L28" s="10" t="s">
        <v>378</v>
      </c>
      <c r="M28" s="21"/>
    </row>
    <row r="29" ht="14" spans="1:13">
      <c r="A29" s="9">
        <v>23</v>
      </c>
      <c r="B29" s="10" t="s">
        <v>366</v>
      </c>
      <c r="C29" s="10" t="s">
        <v>379</v>
      </c>
      <c r="D29" s="10" t="s">
        <v>366</v>
      </c>
      <c r="E29" s="10" t="s">
        <v>380</v>
      </c>
      <c r="F29" s="10" t="s">
        <v>381</v>
      </c>
      <c r="G29" s="15">
        <v>46249.5</v>
      </c>
      <c r="H29" s="16">
        <v>0</v>
      </c>
      <c r="I29" s="10" t="s">
        <v>302</v>
      </c>
      <c r="J29" s="10" t="s">
        <v>303</v>
      </c>
      <c r="K29" s="10" t="s">
        <v>245</v>
      </c>
      <c r="L29" s="10" t="s">
        <v>382</v>
      </c>
      <c r="M29" s="21" t="s">
        <v>383</v>
      </c>
    </row>
    <row r="30" ht="14" spans="1:13">
      <c r="A30" s="9">
        <v>24</v>
      </c>
      <c r="B30" s="10" t="s">
        <v>366</v>
      </c>
      <c r="C30" s="10" t="s">
        <v>384</v>
      </c>
      <c r="D30" s="10" t="s">
        <v>366</v>
      </c>
      <c r="E30" s="10" t="s">
        <v>306</v>
      </c>
      <c r="F30" s="10" t="s">
        <v>385</v>
      </c>
      <c r="G30" s="15">
        <v>46244.5</v>
      </c>
      <c r="H30" s="16">
        <v>0</v>
      </c>
      <c r="I30" s="10" t="s">
        <v>302</v>
      </c>
      <c r="J30" s="10" t="s">
        <v>377</v>
      </c>
      <c r="K30" s="10" t="s">
        <v>245</v>
      </c>
      <c r="L30" s="10" t="s">
        <v>386</v>
      </c>
      <c r="M30" s="21"/>
    </row>
    <row r="31" ht="28.35" spans="1:13">
      <c r="A31" s="9">
        <v>25</v>
      </c>
      <c r="B31" s="10" t="s">
        <v>366</v>
      </c>
      <c r="C31" s="10" t="s">
        <v>387</v>
      </c>
      <c r="D31" s="10" t="s">
        <v>366</v>
      </c>
      <c r="E31" s="10" t="s">
        <v>388</v>
      </c>
      <c r="F31" s="10" t="s">
        <v>389</v>
      </c>
      <c r="G31" s="15">
        <v>46248.5</v>
      </c>
      <c r="H31" s="16">
        <v>0</v>
      </c>
      <c r="I31" s="10" t="s">
        <v>302</v>
      </c>
      <c r="J31" s="10" t="s">
        <v>303</v>
      </c>
      <c r="K31" s="10" t="s">
        <v>245</v>
      </c>
      <c r="L31" s="10" t="s">
        <v>390</v>
      </c>
      <c r="M31" s="21" t="s">
        <v>391</v>
      </c>
    </row>
    <row r="32" ht="14" spans="1:13">
      <c r="A32" s="9">
        <v>26</v>
      </c>
      <c r="B32" s="10" t="s">
        <v>366</v>
      </c>
      <c r="C32" s="11" t="s">
        <v>329</v>
      </c>
      <c r="D32" s="11" t="s">
        <v>245</v>
      </c>
      <c r="E32" s="11" t="s">
        <v>245</v>
      </c>
      <c r="F32" s="11" t="s">
        <v>245</v>
      </c>
      <c r="G32" s="17"/>
      <c r="H32" s="18">
        <v>0</v>
      </c>
      <c r="I32" s="11" t="s">
        <v>302</v>
      </c>
      <c r="J32" s="11" t="s">
        <v>245</v>
      </c>
      <c r="K32" s="11" t="s">
        <v>245</v>
      </c>
      <c r="L32" s="11" t="s">
        <v>245</v>
      </c>
      <c r="M32" s="22"/>
    </row>
    <row r="33" ht="14" spans="1:13">
      <c r="A33" s="9">
        <v>27</v>
      </c>
      <c r="B33" s="10" t="s">
        <v>366</v>
      </c>
      <c r="C33" s="11" t="s">
        <v>329</v>
      </c>
      <c r="D33" s="11" t="s">
        <v>245</v>
      </c>
      <c r="E33" s="11" t="s">
        <v>245</v>
      </c>
      <c r="F33" s="11" t="s">
        <v>245</v>
      </c>
      <c r="G33" s="17"/>
      <c r="H33" s="18">
        <v>0</v>
      </c>
      <c r="I33" s="11" t="s">
        <v>302</v>
      </c>
      <c r="J33" s="11" t="s">
        <v>245</v>
      </c>
      <c r="K33" s="11" t="s">
        <v>245</v>
      </c>
      <c r="L33" s="11" t="s">
        <v>245</v>
      </c>
      <c r="M33" s="22"/>
    </row>
    <row r="34" ht="14" spans="1:13">
      <c r="A34" s="9">
        <v>28</v>
      </c>
      <c r="B34" s="10" t="s">
        <v>392</v>
      </c>
      <c r="C34" s="10" t="s">
        <v>393</v>
      </c>
      <c r="D34" s="10" t="s">
        <v>394</v>
      </c>
      <c r="E34" s="10" t="s">
        <v>395</v>
      </c>
      <c r="F34" s="10" t="s">
        <v>396</v>
      </c>
      <c r="G34" s="15">
        <v>46224.5</v>
      </c>
      <c r="H34" s="16">
        <v>0</v>
      </c>
      <c r="I34" s="10" t="s">
        <v>302</v>
      </c>
      <c r="J34" s="10" t="s">
        <v>303</v>
      </c>
      <c r="K34" s="10" t="s">
        <v>245</v>
      </c>
      <c r="L34" s="10" t="s">
        <v>397</v>
      </c>
      <c r="M34" s="21"/>
    </row>
    <row r="35" ht="14" spans="1:13">
      <c r="A35" s="9">
        <v>29</v>
      </c>
      <c r="B35" s="10" t="s">
        <v>392</v>
      </c>
      <c r="C35" s="10" t="s">
        <v>398</v>
      </c>
      <c r="D35" s="10" t="s">
        <v>392</v>
      </c>
      <c r="E35" s="10" t="s">
        <v>399</v>
      </c>
      <c r="F35" s="10" t="s">
        <v>400</v>
      </c>
      <c r="G35" s="15">
        <v>46225.5</v>
      </c>
      <c r="H35" s="16">
        <v>0</v>
      </c>
      <c r="I35" s="10" t="s">
        <v>302</v>
      </c>
      <c r="J35" s="10" t="s">
        <v>303</v>
      </c>
      <c r="K35" s="10" t="s">
        <v>245</v>
      </c>
      <c r="L35" s="10" t="s">
        <v>401</v>
      </c>
      <c r="M35" s="21"/>
    </row>
    <row r="36" ht="14" spans="1:13">
      <c r="A36" s="9">
        <v>30</v>
      </c>
      <c r="B36" s="10" t="s">
        <v>392</v>
      </c>
      <c r="C36" s="10" t="s">
        <v>402</v>
      </c>
      <c r="D36" s="10" t="s">
        <v>392</v>
      </c>
      <c r="E36" s="10" t="s">
        <v>403</v>
      </c>
      <c r="F36" s="10" t="s">
        <v>404</v>
      </c>
      <c r="G36" s="15">
        <v>46226.5</v>
      </c>
      <c r="H36" s="16">
        <v>0</v>
      </c>
      <c r="I36" s="10" t="s">
        <v>302</v>
      </c>
      <c r="J36" s="10" t="s">
        <v>303</v>
      </c>
      <c r="K36" s="10" t="s">
        <v>245</v>
      </c>
      <c r="L36" s="10" t="s">
        <v>405</v>
      </c>
      <c r="M36" s="21"/>
    </row>
    <row r="37" ht="14" spans="1:13">
      <c r="A37" s="9">
        <v>31</v>
      </c>
      <c r="B37" s="10" t="s">
        <v>392</v>
      </c>
      <c r="C37" s="10" t="s">
        <v>406</v>
      </c>
      <c r="D37" s="10" t="s">
        <v>392</v>
      </c>
      <c r="E37" s="10" t="s">
        <v>407</v>
      </c>
      <c r="F37" s="10" t="s">
        <v>408</v>
      </c>
      <c r="G37" s="15">
        <v>46227.5</v>
      </c>
      <c r="H37" s="16">
        <v>0</v>
      </c>
      <c r="I37" s="10" t="s">
        <v>302</v>
      </c>
      <c r="J37" s="10" t="s">
        <v>303</v>
      </c>
      <c r="K37" s="10" t="s">
        <v>245</v>
      </c>
      <c r="L37" s="10" t="s">
        <v>409</v>
      </c>
      <c r="M37" s="21"/>
    </row>
    <row r="38" ht="28.35" spans="1:13">
      <c r="A38" s="9">
        <v>32</v>
      </c>
      <c r="B38" s="10" t="s">
        <v>392</v>
      </c>
      <c r="C38" s="10" t="s">
        <v>410</v>
      </c>
      <c r="D38" s="10" t="s">
        <v>392</v>
      </c>
      <c r="E38" s="10" t="s">
        <v>411</v>
      </c>
      <c r="F38" s="10" t="s">
        <v>412</v>
      </c>
      <c r="G38" s="15">
        <v>46243.5</v>
      </c>
      <c r="H38" s="16">
        <v>0</v>
      </c>
      <c r="I38" s="10" t="s">
        <v>302</v>
      </c>
      <c r="J38" s="10" t="s">
        <v>303</v>
      </c>
      <c r="K38" s="10" t="s">
        <v>245</v>
      </c>
      <c r="L38" s="10" t="s">
        <v>413</v>
      </c>
      <c r="M38" s="21" t="s">
        <v>414</v>
      </c>
    </row>
    <row r="39" ht="14" spans="1:13">
      <c r="A39" s="9">
        <v>33</v>
      </c>
      <c r="B39" s="10" t="s">
        <v>392</v>
      </c>
      <c r="C39" s="10" t="s">
        <v>415</v>
      </c>
      <c r="D39" s="10" t="s">
        <v>392</v>
      </c>
      <c r="E39" s="10" t="s">
        <v>416</v>
      </c>
      <c r="F39" s="10" t="s">
        <v>417</v>
      </c>
      <c r="G39" s="15">
        <v>46230.5</v>
      </c>
      <c r="H39" s="16">
        <v>0</v>
      </c>
      <c r="I39" s="10" t="s">
        <v>302</v>
      </c>
      <c r="J39" s="10" t="s">
        <v>303</v>
      </c>
      <c r="K39" s="10" t="s">
        <v>245</v>
      </c>
      <c r="L39" s="10" t="s">
        <v>418</v>
      </c>
      <c r="M39" s="21"/>
    </row>
    <row r="40" ht="14" spans="1:13">
      <c r="A40" s="9">
        <v>34</v>
      </c>
      <c r="B40" s="10" t="s">
        <v>392</v>
      </c>
      <c r="C40" s="10" t="s">
        <v>419</v>
      </c>
      <c r="D40" s="10" t="s">
        <v>392</v>
      </c>
      <c r="E40" s="10" t="s">
        <v>420</v>
      </c>
      <c r="F40" s="10" t="s">
        <v>421</v>
      </c>
      <c r="G40" s="15">
        <v>46232.5</v>
      </c>
      <c r="H40" s="16">
        <v>0</v>
      </c>
      <c r="I40" s="10" t="s">
        <v>302</v>
      </c>
      <c r="J40" s="10" t="s">
        <v>377</v>
      </c>
      <c r="K40" s="10" t="s">
        <v>245</v>
      </c>
      <c r="L40" s="10" t="s">
        <v>422</v>
      </c>
      <c r="M40" s="21"/>
    </row>
    <row r="41" ht="14" spans="1:13">
      <c r="A41" s="9">
        <v>35</v>
      </c>
      <c r="B41" s="10" t="s">
        <v>392</v>
      </c>
      <c r="C41" s="10" t="s">
        <v>423</v>
      </c>
      <c r="D41" s="10" t="s">
        <v>392</v>
      </c>
      <c r="E41" s="10" t="s">
        <v>424</v>
      </c>
      <c r="F41" s="10" t="s">
        <v>425</v>
      </c>
      <c r="G41" s="15">
        <v>46244.5</v>
      </c>
      <c r="H41" s="16">
        <v>0</v>
      </c>
      <c r="I41" s="10" t="s">
        <v>302</v>
      </c>
      <c r="J41" s="10" t="s">
        <v>303</v>
      </c>
      <c r="K41" s="10" t="s">
        <v>245</v>
      </c>
      <c r="L41" s="10" t="s">
        <v>426</v>
      </c>
      <c r="M41" s="21"/>
    </row>
    <row r="42" ht="14" spans="1:13">
      <c r="A42" s="9">
        <v>36</v>
      </c>
      <c r="B42" s="10" t="s">
        <v>392</v>
      </c>
      <c r="C42" s="10" t="s">
        <v>427</v>
      </c>
      <c r="D42" s="10" t="s">
        <v>392</v>
      </c>
      <c r="E42" s="10" t="s">
        <v>330</v>
      </c>
      <c r="F42" s="10" t="s">
        <v>428</v>
      </c>
      <c r="G42" s="15">
        <v>46246.5</v>
      </c>
      <c r="H42" s="16">
        <v>0</v>
      </c>
      <c r="I42" s="10" t="s">
        <v>302</v>
      </c>
      <c r="J42" s="10" t="s">
        <v>303</v>
      </c>
      <c r="K42" s="10" t="s">
        <v>245</v>
      </c>
      <c r="L42" s="10" t="s">
        <v>429</v>
      </c>
      <c r="M42" s="21" t="s">
        <v>430</v>
      </c>
    </row>
    <row r="43" ht="14" spans="1:13">
      <c r="A43" s="9">
        <v>37</v>
      </c>
      <c r="B43" s="10" t="s">
        <v>392</v>
      </c>
      <c r="C43" s="11" t="s">
        <v>329</v>
      </c>
      <c r="D43" s="11" t="s">
        <v>245</v>
      </c>
      <c r="E43" s="11" t="s">
        <v>245</v>
      </c>
      <c r="F43" s="11" t="s">
        <v>245</v>
      </c>
      <c r="G43" s="17"/>
      <c r="H43" s="18">
        <v>0</v>
      </c>
      <c r="I43" s="11" t="s">
        <v>302</v>
      </c>
      <c r="J43" s="11" t="s">
        <v>245</v>
      </c>
      <c r="K43" s="11" t="s">
        <v>245</v>
      </c>
      <c r="L43" s="11" t="s">
        <v>245</v>
      </c>
      <c r="M43" s="22"/>
    </row>
    <row r="44" ht="14" spans="1:13">
      <c r="A44" s="9">
        <v>38</v>
      </c>
      <c r="B44" s="10" t="s">
        <v>392</v>
      </c>
      <c r="C44" s="11" t="s">
        <v>329</v>
      </c>
      <c r="D44" s="11" t="s">
        <v>245</v>
      </c>
      <c r="E44" s="11" t="s">
        <v>245</v>
      </c>
      <c r="F44" s="11" t="s">
        <v>245</v>
      </c>
      <c r="G44" s="17"/>
      <c r="H44" s="18">
        <v>0</v>
      </c>
      <c r="I44" s="11" t="s">
        <v>302</v>
      </c>
      <c r="J44" s="11" t="s">
        <v>245</v>
      </c>
      <c r="K44" s="11" t="s">
        <v>245</v>
      </c>
      <c r="L44" s="11" t="s">
        <v>245</v>
      </c>
      <c r="M44" s="22"/>
    </row>
    <row r="45" ht="14" spans="1:13">
      <c r="A45" s="9">
        <v>39</v>
      </c>
      <c r="B45" s="10" t="s">
        <v>431</v>
      </c>
      <c r="C45" s="10" t="s">
        <v>432</v>
      </c>
      <c r="D45" s="10" t="s">
        <v>433</v>
      </c>
      <c r="E45" s="10" t="s">
        <v>375</v>
      </c>
      <c r="F45" s="10" t="s">
        <v>434</v>
      </c>
      <c r="G45" s="15">
        <v>46226.5</v>
      </c>
      <c r="H45" s="16">
        <v>0</v>
      </c>
      <c r="I45" s="10" t="s">
        <v>302</v>
      </c>
      <c r="J45" s="10" t="s">
        <v>303</v>
      </c>
      <c r="K45" s="10" t="s">
        <v>245</v>
      </c>
      <c r="L45" s="10" t="s">
        <v>435</v>
      </c>
      <c r="M45" s="21"/>
    </row>
    <row r="46" ht="14" spans="1:13">
      <c r="A46" s="9">
        <v>40</v>
      </c>
      <c r="B46" s="10" t="s">
        <v>431</v>
      </c>
      <c r="C46" s="10" t="s">
        <v>436</v>
      </c>
      <c r="D46" s="10" t="s">
        <v>431</v>
      </c>
      <c r="E46" s="10" t="s">
        <v>210</v>
      </c>
      <c r="F46" s="10" t="s">
        <v>437</v>
      </c>
      <c r="G46" s="15">
        <v>46227.5</v>
      </c>
      <c r="H46" s="16">
        <v>0</v>
      </c>
      <c r="I46" s="10" t="s">
        <v>302</v>
      </c>
      <c r="J46" s="10" t="s">
        <v>377</v>
      </c>
      <c r="K46" s="10" t="s">
        <v>245</v>
      </c>
      <c r="L46" s="10" t="s">
        <v>438</v>
      </c>
      <c r="M46" s="21"/>
    </row>
    <row r="47" ht="14" spans="1:13">
      <c r="A47" s="9">
        <v>41</v>
      </c>
      <c r="B47" s="10" t="s">
        <v>431</v>
      </c>
      <c r="C47" s="10" t="s">
        <v>439</v>
      </c>
      <c r="D47" s="10" t="s">
        <v>431</v>
      </c>
      <c r="E47" s="10" t="s">
        <v>440</v>
      </c>
      <c r="F47" s="10" t="s">
        <v>441</v>
      </c>
      <c r="G47" s="15">
        <v>46228.5</v>
      </c>
      <c r="H47" s="16">
        <v>0</v>
      </c>
      <c r="I47" s="10" t="s">
        <v>302</v>
      </c>
      <c r="J47" s="10" t="s">
        <v>303</v>
      </c>
      <c r="K47" s="10" t="s">
        <v>245</v>
      </c>
      <c r="L47" s="10" t="s">
        <v>442</v>
      </c>
      <c r="M47" s="21"/>
    </row>
    <row r="48" ht="14" spans="1:13">
      <c r="A48" s="9">
        <v>42</v>
      </c>
      <c r="B48" s="10" t="s">
        <v>431</v>
      </c>
      <c r="C48" s="10" t="s">
        <v>443</v>
      </c>
      <c r="D48" s="10" t="s">
        <v>431</v>
      </c>
      <c r="E48" s="10" t="s">
        <v>392</v>
      </c>
      <c r="F48" s="10" t="s">
        <v>444</v>
      </c>
      <c r="G48" s="15">
        <v>46229.5</v>
      </c>
      <c r="H48" s="16">
        <v>0</v>
      </c>
      <c r="I48" s="10" t="s">
        <v>302</v>
      </c>
      <c r="J48" s="10" t="s">
        <v>303</v>
      </c>
      <c r="K48" s="10" t="s">
        <v>245</v>
      </c>
      <c r="L48" s="10" t="s">
        <v>445</v>
      </c>
      <c r="M48" s="21"/>
    </row>
    <row r="49" ht="14" spans="1:13">
      <c r="A49" s="9">
        <v>43</v>
      </c>
      <c r="B49" s="10" t="s">
        <v>431</v>
      </c>
      <c r="C49" s="10" t="s">
        <v>446</v>
      </c>
      <c r="D49" s="10" t="s">
        <v>431</v>
      </c>
      <c r="E49" s="10" t="s">
        <v>380</v>
      </c>
      <c r="F49" s="10" t="s">
        <v>447</v>
      </c>
      <c r="G49" s="15">
        <v>46237.5</v>
      </c>
      <c r="H49" s="16">
        <v>0</v>
      </c>
      <c r="I49" s="10" t="s">
        <v>302</v>
      </c>
      <c r="J49" s="10" t="s">
        <v>303</v>
      </c>
      <c r="K49" s="10" t="s">
        <v>245</v>
      </c>
      <c r="L49" s="10" t="s">
        <v>448</v>
      </c>
      <c r="M49" s="21"/>
    </row>
    <row r="50" ht="28.35" spans="1:13">
      <c r="A50" s="9">
        <v>44</v>
      </c>
      <c r="B50" s="10" t="s">
        <v>431</v>
      </c>
      <c r="C50" s="10" t="s">
        <v>449</v>
      </c>
      <c r="D50" s="10" t="s">
        <v>431</v>
      </c>
      <c r="E50" s="10" t="s">
        <v>450</v>
      </c>
      <c r="F50" s="10" t="s">
        <v>451</v>
      </c>
      <c r="G50" s="15">
        <v>46242.5</v>
      </c>
      <c r="H50" s="16">
        <v>0</v>
      </c>
      <c r="I50" s="10" t="s">
        <v>302</v>
      </c>
      <c r="J50" s="10" t="s">
        <v>377</v>
      </c>
      <c r="K50" s="10" t="s">
        <v>245</v>
      </c>
      <c r="L50" s="10" t="s">
        <v>452</v>
      </c>
      <c r="M50" s="21" t="s">
        <v>453</v>
      </c>
    </row>
    <row r="51" ht="14" spans="1:13">
      <c r="A51" s="9">
        <v>45</v>
      </c>
      <c r="B51" s="10" t="s">
        <v>431</v>
      </c>
      <c r="C51" s="10" t="s">
        <v>454</v>
      </c>
      <c r="D51" s="10" t="s">
        <v>431</v>
      </c>
      <c r="E51" s="10" t="s">
        <v>455</v>
      </c>
      <c r="F51" s="10" t="s">
        <v>456</v>
      </c>
      <c r="G51" s="15">
        <v>46242.5</v>
      </c>
      <c r="H51" s="16">
        <v>0</v>
      </c>
      <c r="I51" s="10" t="s">
        <v>302</v>
      </c>
      <c r="J51" s="10" t="s">
        <v>377</v>
      </c>
      <c r="K51" s="10" t="s">
        <v>245</v>
      </c>
      <c r="L51" s="10" t="s">
        <v>457</v>
      </c>
      <c r="M51" s="21"/>
    </row>
    <row r="52" ht="14" spans="1:13">
      <c r="A52" s="9">
        <v>46</v>
      </c>
      <c r="B52" s="10" t="s">
        <v>431</v>
      </c>
      <c r="C52" s="10" t="s">
        <v>458</v>
      </c>
      <c r="D52" s="10" t="s">
        <v>431</v>
      </c>
      <c r="E52" s="10" t="s">
        <v>459</v>
      </c>
      <c r="F52" s="10" t="s">
        <v>460</v>
      </c>
      <c r="G52" s="15">
        <v>46244.5</v>
      </c>
      <c r="H52" s="16">
        <v>0</v>
      </c>
      <c r="I52" s="10" t="s">
        <v>302</v>
      </c>
      <c r="J52" s="10" t="s">
        <v>303</v>
      </c>
      <c r="K52" s="10" t="s">
        <v>245</v>
      </c>
      <c r="L52" s="10" t="s">
        <v>461</v>
      </c>
      <c r="M52" s="21"/>
    </row>
    <row r="53" ht="14" spans="1:13">
      <c r="A53" s="9">
        <v>47</v>
      </c>
      <c r="B53" s="10" t="s">
        <v>431</v>
      </c>
      <c r="C53" s="11" t="s">
        <v>329</v>
      </c>
      <c r="D53" s="11" t="s">
        <v>245</v>
      </c>
      <c r="E53" s="11" t="s">
        <v>245</v>
      </c>
      <c r="F53" s="11" t="s">
        <v>245</v>
      </c>
      <c r="G53" s="17"/>
      <c r="H53" s="18">
        <v>0</v>
      </c>
      <c r="I53" s="11" t="s">
        <v>302</v>
      </c>
      <c r="J53" s="11" t="s">
        <v>245</v>
      </c>
      <c r="K53" s="11" t="s">
        <v>245</v>
      </c>
      <c r="L53" s="11" t="s">
        <v>245</v>
      </c>
      <c r="M53" s="22"/>
    </row>
    <row r="54" ht="14" spans="1:13">
      <c r="A54" s="9">
        <v>48</v>
      </c>
      <c r="B54" s="10" t="s">
        <v>431</v>
      </c>
      <c r="C54" s="11" t="s">
        <v>329</v>
      </c>
      <c r="D54" s="11" t="s">
        <v>245</v>
      </c>
      <c r="E54" s="11" t="s">
        <v>245</v>
      </c>
      <c r="F54" s="11" t="s">
        <v>245</v>
      </c>
      <c r="G54" s="17"/>
      <c r="H54" s="18">
        <v>0</v>
      </c>
      <c r="I54" s="11" t="s">
        <v>302</v>
      </c>
      <c r="J54" s="11" t="s">
        <v>245</v>
      </c>
      <c r="K54" s="11" t="s">
        <v>245</v>
      </c>
      <c r="L54" s="11" t="s">
        <v>245</v>
      </c>
      <c r="M54" s="22"/>
    </row>
    <row r="55" ht="28" spans="1:13">
      <c r="A55" s="9">
        <v>49</v>
      </c>
      <c r="B55" s="10" t="s">
        <v>407</v>
      </c>
      <c r="C55" s="10" t="s">
        <v>462</v>
      </c>
      <c r="D55" s="10" t="s">
        <v>463</v>
      </c>
      <c r="E55" s="10" t="s">
        <v>464</v>
      </c>
      <c r="F55" s="10" t="s">
        <v>465</v>
      </c>
      <c r="G55" s="15">
        <v>46224.5</v>
      </c>
      <c r="H55" s="16">
        <v>0</v>
      </c>
      <c r="I55" s="10" t="s">
        <v>302</v>
      </c>
      <c r="J55" s="10" t="s">
        <v>303</v>
      </c>
      <c r="K55" s="10" t="s">
        <v>245</v>
      </c>
      <c r="L55" s="10" t="s">
        <v>466</v>
      </c>
      <c r="M55" s="21"/>
    </row>
    <row r="56" ht="14" spans="1:13">
      <c r="A56" s="9">
        <v>50</v>
      </c>
      <c r="B56" s="10" t="s">
        <v>407</v>
      </c>
      <c r="C56" s="10" t="s">
        <v>467</v>
      </c>
      <c r="D56" s="10" t="s">
        <v>407</v>
      </c>
      <c r="E56" s="10" t="s">
        <v>468</v>
      </c>
      <c r="F56" s="10" t="s">
        <v>469</v>
      </c>
      <c r="G56" s="15">
        <v>46224.5</v>
      </c>
      <c r="H56" s="16">
        <v>0</v>
      </c>
      <c r="I56" s="10" t="s">
        <v>302</v>
      </c>
      <c r="J56" s="10" t="s">
        <v>303</v>
      </c>
      <c r="K56" s="10" t="s">
        <v>245</v>
      </c>
      <c r="L56" s="10" t="s">
        <v>470</v>
      </c>
      <c r="M56" s="21"/>
    </row>
    <row r="57" ht="14" spans="1:13">
      <c r="A57" s="9">
        <v>51</v>
      </c>
      <c r="B57" s="10" t="s">
        <v>407</v>
      </c>
      <c r="C57" s="10" t="s">
        <v>471</v>
      </c>
      <c r="D57" s="10" t="s">
        <v>407</v>
      </c>
      <c r="E57" s="10" t="s">
        <v>472</v>
      </c>
      <c r="F57" s="10" t="s">
        <v>473</v>
      </c>
      <c r="G57" s="15">
        <v>46227.5</v>
      </c>
      <c r="H57" s="16">
        <v>0</v>
      </c>
      <c r="I57" s="10" t="s">
        <v>302</v>
      </c>
      <c r="J57" s="10" t="s">
        <v>303</v>
      </c>
      <c r="K57" s="10" t="s">
        <v>245</v>
      </c>
      <c r="L57" s="10" t="s">
        <v>474</v>
      </c>
      <c r="M57" s="21"/>
    </row>
    <row r="58" ht="28.35" spans="1:13">
      <c r="A58" s="9">
        <v>52</v>
      </c>
      <c r="B58" s="10" t="s">
        <v>407</v>
      </c>
      <c r="C58" s="10" t="s">
        <v>475</v>
      </c>
      <c r="D58" s="10" t="s">
        <v>476</v>
      </c>
      <c r="E58" s="10" t="s">
        <v>477</v>
      </c>
      <c r="F58" s="10" t="s">
        <v>478</v>
      </c>
      <c r="G58" s="15">
        <v>46234.5</v>
      </c>
      <c r="H58" s="16">
        <v>0</v>
      </c>
      <c r="I58" s="10" t="s">
        <v>302</v>
      </c>
      <c r="J58" s="10" t="s">
        <v>303</v>
      </c>
      <c r="K58" s="10" t="s">
        <v>245</v>
      </c>
      <c r="L58" s="10" t="s">
        <v>479</v>
      </c>
      <c r="M58" s="21" t="s">
        <v>480</v>
      </c>
    </row>
    <row r="59" ht="14" spans="1:13">
      <c r="A59" s="9">
        <v>53</v>
      </c>
      <c r="B59" s="10" t="s">
        <v>407</v>
      </c>
      <c r="C59" s="10" t="s">
        <v>481</v>
      </c>
      <c r="D59" s="10" t="s">
        <v>407</v>
      </c>
      <c r="E59" s="10" t="s">
        <v>269</v>
      </c>
      <c r="F59" s="10" t="s">
        <v>482</v>
      </c>
      <c r="G59" s="15">
        <v>46231.5</v>
      </c>
      <c r="H59" s="16">
        <v>0</v>
      </c>
      <c r="I59" s="10" t="s">
        <v>302</v>
      </c>
      <c r="J59" s="10" t="s">
        <v>303</v>
      </c>
      <c r="K59" s="10" t="s">
        <v>245</v>
      </c>
      <c r="L59" s="10" t="s">
        <v>483</v>
      </c>
      <c r="M59" s="21"/>
    </row>
    <row r="60" ht="28" spans="1:13">
      <c r="A60" s="9">
        <v>54</v>
      </c>
      <c r="B60" s="10" t="s">
        <v>407</v>
      </c>
      <c r="C60" s="10" t="s">
        <v>484</v>
      </c>
      <c r="D60" s="10" t="s">
        <v>407</v>
      </c>
      <c r="E60" s="10" t="s">
        <v>485</v>
      </c>
      <c r="F60" s="10" t="s">
        <v>486</v>
      </c>
      <c r="G60" s="15">
        <v>46239.5</v>
      </c>
      <c r="H60" s="16">
        <v>0</v>
      </c>
      <c r="I60" s="10" t="s">
        <v>302</v>
      </c>
      <c r="J60" s="10" t="s">
        <v>377</v>
      </c>
      <c r="K60" s="10" t="s">
        <v>245</v>
      </c>
      <c r="L60" s="10" t="s">
        <v>487</v>
      </c>
      <c r="M60" s="21"/>
    </row>
    <row r="61" ht="14" spans="1:13">
      <c r="A61" s="9">
        <v>55</v>
      </c>
      <c r="B61" s="10" t="s">
        <v>407</v>
      </c>
      <c r="C61" s="10" t="s">
        <v>488</v>
      </c>
      <c r="D61" s="10" t="s">
        <v>407</v>
      </c>
      <c r="E61" s="10" t="s">
        <v>330</v>
      </c>
      <c r="F61" s="10" t="s">
        <v>489</v>
      </c>
      <c r="G61" s="15">
        <v>46242.5</v>
      </c>
      <c r="H61" s="16">
        <v>0</v>
      </c>
      <c r="I61" s="10" t="s">
        <v>302</v>
      </c>
      <c r="J61" s="10" t="s">
        <v>377</v>
      </c>
      <c r="K61" s="10" t="s">
        <v>245</v>
      </c>
      <c r="L61" s="10" t="s">
        <v>490</v>
      </c>
      <c r="M61" s="21"/>
    </row>
    <row r="62" ht="28.35" spans="1:13">
      <c r="A62" s="9">
        <v>56</v>
      </c>
      <c r="B62" s="10" t="s">
        <v>407</v>
      </c>
      <c r="C62" s="10" t="s">
        <v>491</v>
      </c>
      <c r="D62" s="10" t="s">
        <v>407</v>
      </c>
      <c r="E62" s="10" t="s">
        <v>492</v>
      </c>
      <c r="F62" s="10" t="s">
        <v>493</v>
      </c>
      <c r="G62" s="15">
        <v>46250.5</v>
      </c>
      <c r="H62" s="16">
        <v>0</v>
      </c>
      <c r="I62" s="10" t="s">
        <v>302</v>
      </c>
      <c r="J62" s="10" t="s">
        <v>377</v>
      </c>
      <c r="K62" s="10" t="s">
        <v>245</v>
      </c>
      <c r="L62" s="10" t="s">
        <v>494</v>
      </c>
      <c r="M62" s="21" t="s">
        <v>495</v>
      </c>
    </row>
    <row r="63" ht="14" spans="1:13">
      <c r="A63" s="9">
        <v>57</v>
      </c>
      <c r="B63" s="10" t="s">
        <v>407</v>
      </c>
      <c r="C63" s="11" t="s">
        <v>329</v>
      </c>
      <c r="D63" s="11" t="s">
        <v>245</v>
      </c>
      <c r="E63" s="11" t="s">
        <v>245</v>
      </c>
      <c r="F63" s="11" t="s">
        <v>245</v>
      </c>
      <c r="G63" s="17"/>
      <c r="H63" s="18">
        <v>0</v>
      </c>
      <c r="I63" s="11" t="s">
        <v>302</v>
      </c>
      <c r="J63" s="11" t="s">
        <v>245</v>
      </c>
      <c r="K63" s="11" t="s">
        <v>245</v>
      </c>
      <c r="L63" s="11" t="s">
        <v>245</v>
      </c>
      <c r="M63" s="22"/>
    </row>
    <row r="64" ht="14" spans="1:13">
      <c r="A64" s="9">
        <v>58</v>
      </c>
      <c r="B64" s="10" t="s">
        <v>407</v>
      </c>
      <c r="C64" s="11" t="s">
        <v>329</v>
      </c>
      <c r="D64" s="11" t="s">
        <v>245</v>
      </c>
      <c r="E64" s="11" t="s">
        <v>245</v>
      </c>
      <c r="F64" s="11" t="s">
        <v>245</v>
      </c>
      <c r="G64" s="17"/>
      <c r="H64" s="18">
        <v>0</v>
      </c>
      <c r="I64" s="11" t="s">
        <v>302</v>
      </c>
      <c r="J64" s="11" t="s">
        <v>245</v>
      </c>
      <c r="K64" s="11" t="s">
        <v>245</v>
      </c>
      <c r="L64" s="11" t="s">
        <v>245</v>
      </c>
      <c r="M64" s="22"/>
    </row>
    <row r="65" ht="14" spans="1:13">
      <c r="A65" s="9">
        <v>59</v>
      </c>
      <c r="B65" s="10" t="s">
        <v>234</v>
      </c>
      <c r="C65" s="10" t="s">
        <v>496</v>
      </c>
      <c r="D65" s="10" t="s">
        <v>497</v>
      </c>
      <c r="E65" s="10" t="s">
        <v>498</v>
      </c>
      <c r="F65" s="10" t="s">
        <v>499</v>
      </c>
      <c r="G65" s="15">
        <v>46225.5</v>
      </c>
      <c r="H65" s="16">
        <v>0</v>
      </c>
      <c r="I65" s="10" t="s">
        <v>302</v>
      </c>
      <c r="J65" s="10" t="s">
        <v>303</v>
      </c>
      <c r="K65" s="10" t="s">
        <v>245</v>
      </c>
      <c r="L65" s="10" t="s">
        <v>500</v>
      </c>
      <c r="M65" s="21"/>
    </row>
    <row r="66" ht="14" spans="1:13">
      <c r="A66" s="9">
        <v>60</v>
      </c>
      <c r="B66" s="10" t="s">
        <v>234</v>
      </c>
      <c r="C66" s="10" t="s">
        <v>501</v>
      </c>
      <c r="D66" s="10" t="s">
        <v>234</v>
      </c>
      <c r="E66" s="10" t="s">
        <v>392</v>
      </c>
      <c r="F66" s="10" t="s">
        <v>502</v>
      </c>
      <c r="G66" s="15">
        <v>46225.5</v>
      </c>
      <c r="H66" s="16">
        <v>0</v>
      </c>
      <c r="I66" s="10" t="s">
        <v>302</v>
      </c>
      <c r="J66" s="10" t="s">
        <v>303</v>
      </c>
      <c r="K66" s="10" t="s">
        <v>245</v>
      </c>
      <c r="L66" s="10" t="s">
        <v>503</v>
      </c>
      <c r="M66" s="21"/>
    </row>
    <row r="67" ht="14" spans="1:13">
      <c r="A67" s="9">
        <v>61</v>
      </c>
      <c r="B67" s="10" t="s">
        <v>234</v>
      </c>
      <c r="C67" s="10" t="s">
        <v>504</v>
      </c>
      <c r="D67" s="10" t="s">
        <v>234</v>
      </c>
      <c r="E67" s="10" t="s">
        <v>505</v>
      </c>
      <c r="F67" s="10" t="s">
        <v>506</v>
      </c>
      <c r="G67" s="15">
        <v>46226.5</v>
      </c>
      <c r="H67" s="16">
        <v>0</v>
      </c>
      <c r="I67" s="10" t="s">
        <v>302</v>
      </c>
      <c r="J67" s="10" t="s">
        <v>377</v>
      </c>
      <c r="K67" s="10" t="s">
        <v>245</v>
      </c>
      <c r="L67" s="10" t="s">
        <v>507</v>
      </c>
      <c r="M67" s="21"/>
    </row>
    <row r="68" ht="14" spans="1:13">
      <c r="A68" s="9">
        <v>62</v>
      </c>
      <c r="B68" s="10" t="s">
        <v>234</v>
      </c>
      <c r="C68" s="10" t="s">
        <v>508</v>
      </c>
      <c r="D68" s="10" t="s">
        <v>234</v>
      </c>
      <c r="E68" s="10" t="s">
        <v>472</v>
      </c>
      <c r="F68" s="10" t="s">
        <v>509</v>
      </c>
      <c r="G68" s="15">
        <v>46228.5</v>
      </c>
      <c r="H68" s="16">
        <v>0</v>
      </c>
      <c r="I68" s="10" t="s">
        <v>302</v>
      </c>
      <c r="J68" s="10" t="s">
        <v>303</v>
      </c>
      <c r="K68" s="10" t="s">
        <v>245</v>
      </c>
      <c r="L68" s="10" t="s">
        <v>510</v>
      </c>
      <c r="M68" s="21"/>
    </row>
    <row r="69" ht="28.35" spans="1:13">
      <c r="A69" s="9">
        <v>63</v>
      </c>
      <c r="B69" s="10" t="s">
        <v>234</v>
      </c>
      <c r="C69" s="10" t="s">
        <v>511</v>
      </c>
      <c r="D69" s="10" t="s">
        <v>234</v>
      </c>
      <c r="E69" s="10" t="s">
        <v>431</v>
      </c>
      <c r="F69" s="10" t="s">
        <v>512</v>
      </c>
      <c r="G69" s="15">
        <v>46249.5</v>
      </c>
      <c r="H69" s="16">
        <v>0</v>
      </c>
      <c r="I69" s="10" t="s">
        <v>302</v>
      </c>
      <c r="J69" s="10" t="s">
        <v>377</v>
      </c>
      <c r="K69" s="10" t="s">
        <v>245</v>
      </c>
      <c r="L69" s="10" t="s">
        <v>513</v>
      </c>
      <c r="M69" s="21" t="s">
        <v>514</v>
      </c>
    </row>
    <row r="70" ht="28.35" spans="1:13">
      <c r="A70" s="9">
        <v>64</v>
      </c>
      <c r="B70" s="10" t="s">
        <v>234</v>
      </c>
      <c r="C70" s="10" t="s">
        <v>515</v>
      </c>
      <c r="D70" s="10" t="s">
        <v>234</v>
      </c>
      <c r="E70" s="10" t="s">
        <v>516</v>
      </c>
      <c r="F70" s="10" t="s">
        <v>517</v>
      </c>
      <c r="G70" s="15">
        <v>46246.5</v>
      </c>
      <c r="H70" s="16">
        <v>0</v>
      </c>
      <c r="I70" s="10" t="s">
        <v>302</v>
      </c>
      <c r="J70" s="10" t="s">
        <v>377</v>
      </c>
      <c r="K70" s="10" t="s">
        <v>245</v>
      </c>
      <c r="L70" s="10" t="s">
        <v>518</v>
      </c>
      <c r="M70" s="21" t="s">
        <v>519</v>
      </c>
    </row>
    <row r="71" ht="28.35" spans="1:13">
      <c r="A71" s="9">
        <v>65</v>
      </c>
      <c r="B71" s="10" t="s">
        <v>234</v>
      </c>
      <c r="C71" s="10" t="s">
        <v>520</v>
      </c>
      <c r="D71" s="10" t="s">
        <v>234</v>
      </c>
      <c r="E71" s="10" t="s">
        <v>380</v>
      </c>
      <c r="F71" s="10" t="s">
        <v>521</v>
      </c>
      <c r="G71" s="15">
        <v>46249.5</v>
      </c>
      <c r="H71" s="16">
        <v>0</v>
      </c>
      <c r="I71" s="10" t="s">
        <v>302</v>
      </c>
      <c r="J71" s="10" t="s">
        <v>303</v>
      </c>
      <c r="K71" s="10" t="s">
        <v>245</v>
      </c>
      <c r="L71" s="10" t="s">
        <v>522</v>
      </c>
      <c r="M71" s="21" t="s">
        <v>523</v>
      </c>
    </row>
    <row r="72" ht="14" spans="1:13">
      <c r="A72" s="9">
        <v>66</v>
      </c>
      <c r="B72" s="10" t="s">
        <v>234</v>
      </c>
      <c r="C72" s="10" t="s">
        <v>524</v>
      </c>
      <c r="D72" s="10" t="s">
        <v>234</v>
      </c>
      <c r="E72" s="10" t="s">
        <v>525</v>
      </c>
      <c r="F72" s="10" t="s">
        <v>526</v>
      </c>
      <c r="G72" s="15">
        <v>46256.5</v>
      </c>
      <c r="H72" s="16">
        <v>0</v>
      </c>
      <c r="I72" s="10" t="s">
        <v>302</v>
      </c>
      <c r="J72" s="10" t="s">
        <v>377</v>
      </c>
      <c r="K72" s="10" t="s">
        <v>245</v>
      </c>
      <c r="L72" s="10" t="s">
        <v>527</v>
      </c>
      <c r="M72" s="21"/>
    </row>
    <row r="73" ht="14" spans="1:13">
      <c r="A73" s="9">
        <v>67</v>
      </c>
      <c r="B73" s="10" t="s">
        <v>234</v>
      </c>
      <c r="C73" s="11" t="s">
        <v>329</v>
      </c>
      <c r="D73" s="11" t="s">
        <v>245</v>
      </c>
      <c r="E73" s="11" t="s">
        <v>245</v>
      </c>
      <c r="F73" s="11" t="s">
        <v>245</v>
      </c>
      <c r="G73" s="17"/>
      <c r="H73" s="18">
        <v>0</v>
      </c>
      <c r="I73" s="11" t="s">
        <v>302</v>
      </c>
      <c r="J73" s="11" t="s">
        <v>245</v>
      </c>
      <c r="K73" s="11" t="s">
        <v>245</v>
      </c>
      <c r="L73" s="11" t="s">
        <v>245</v>
      </c>
      <c r="M73" s="22"/>
    </row>
    <row r="74" ht="14" spans="1:13">
      <c r="A74" s="9">
        <v>68</v>
      </c>
      <c r="B74" s="10" t="s">
        <v>234</v>
      </c>
      <c r="C74" s="11" t="s">
        <v>329</v>
      </c>
      <c r="D74" s="11" t="s">
        <v>245</v>
      </c>
      <c r="E74" s="11" t="s">
        <v>245</v>
      </c>
      <c r="F74" s="11" t="s">
        <v>245</v>
      </c>
      <c r="G74" s="17"/>
      <c r="H74" s="18">
        <v>0</v>
      </c>
      <c r="I74" s="11" t="s">
        <v>302</v>
      </c>
      <c r="J74" s="11" t="s">
        <v>245</v>
      </c>
      <c r="K74" s="11" t="s">
        <v>245</v>
      </c>
      <c r="L74" s="11" t="s">
        <v>245</v>
      </c>
      <c r="M74" s="22"/>
    </row>
    <row r="75" ht="14" spans="1:13">
      <c r="A75" s="9">
        <v>69</v>
      </c>
      <c r="B75" s="10" t="s">
        <v>380</v>
      </c>
      <c r="C75" s="10" t="s">
        <v>528</v>
      </c>
      <c r="D75" s="10" t="s">
        <v>529</v>
      </c>
      <c r="E75" s="10" t="s">
        <v>530</v>
      </c>
      <c r="F75" s="10" t="s">
        <v>531</v>
      </c>
      <c r="G75" s="15">
        <v>46224.5</v>
      </c>
      <c r="H75" s="16">
        <v>0</v>
      </c>
      <c r="I75" s="10" t="s">
        <v>302</v>
      </c>
      <c r="J75" s="10" t="s">
        <v>303</v>
      </c>
      <c r="K75" s="10" t="s">
        <v>245</v>
      </c>
      <c r="L75" s="10" t="s">
        <v>532</v>
      </c>
      <c r="M75" s="21"/>
    </row>
    <row r="76" ht="14" spans="1:13">
      <c r="A76" s="9">
        <v>70</v>
      </c>
      <c r="B76" s="10" t="s">
        <v>380</v>
      </c>
      <c r="C76" s="10" t="s">
        <v>533</v>
      </c>
      <c r="D76" s="10" t="s">
        <v>380</v>
      </c>
      <c r="E76" s="10" t="s">
        <v>534</v>
      </c>
      <c r="F76" s="10" t="s">
        <v>535</v>
      </c>
      <c r="G76" s="15">
        <v>46230.5</v>
      </c>
      <c r="H76" s="16">
        <v>0</v>
      </c>
      <c r="I76" s="10" t="s">
        <v>302</v>
      </c>
      <c r="J76" s="10" t="s">
        <v>303</v>
      </c>
      <c r="K76" s="10" t="s">
        <v>245</v>
      </c>
      <c r="L76" s="10" t="s">
        <v>536</v>
      </c>
      <c r="M76" s="21"/>
    </row>
    <row r="77" ht="14" spans="1:13">
      <c r="A77" s="9">
        <v>71</v>
      </c>
      <c r="B77" s="10" t="s">
        <v>380</v>
      </c>
      <c r="C77" s="10" t="s">
        <v>537</v>
      </c>
      <c r="D77" s="10" t="s">
        <v>380</v>
      </c>
      <c r="E77" s="10" t="s">
        <v>538</v>
      </c>
      <c r="F77" s="10" t="s">
        <v>539</v>
      </c>
      <c r="G77" s="15">
        <v>46233.5</v>
      </c>
      <c r="H77" s="16">
        <v>0</v>
      </c>
      <c r="I77" s="10" t="s">
        <v>302</v>
      </c>
      <c r="J77" s="10" t="s">
        <v>303</v>
      </c>
      <c r="K77" s="10" t="s">
        <v>245</v>
      </c>
      <c r="L77" s="10" t="s">
        <v>540</v>
      </c>
      <c r="M77" s="21"/>
    </row>
    <row r="78" ht="14" spans="1:13">
      <c r="A78" s="9">
        <v>72</v>
      </c>
      <c r="B78" s="10" t="s">
        <v>380</v>
      </c>
      <c r="C78" s="10" t="s">
        <v>541</v>
      </c>
      <c r="D78" s="10" t="s">
        <v>380</v>
      </c>
      <c r="E78" s="10" t="s">
        <v>542</v>
      </c>
      <c r="F78" s="10" t="s">
        <v>543</v>
      </c>
      <c r="G78" s="15">
        <v>46242.5</v>
      </c>
      <c r="H78" s="16">
        <v>0</v>
      </c>
      <c r="I78" s="10" t="s">
        <v>302</v>
      </c>
      <c r="J78" s="10" t="s">
        <v>303</v>
      </c>
      <c r="K78" s="10" t="s">
        <v>245</v>
      </c>
      <c r="L78" s="10" t="s">
        <v>544</v>
      </c>
      <c r="M78" s="21"/>
    </row>
    <row r="79" ht="28.35" spans="1:13">
      <c r="A79" s="9">
        <v>73</v>
      </c>
      <c r="B79" s="10" t="s">
        <v>380</v>
      </c>
      <c r="C79" s="10" t="s">
        <v>545</v>
      </c>
      <c r="D79" s="10" t="s">
        <v>380</v>
      </c>
      <c r="E79" s="10" t="s">
        <v>546</v>
      </c>
      <c r="F79" s="10" t="s">
        <v>547</v>
      </c>
      <c r="G79" s="15">
        <v>46244.5</v>
      </c>
      <c r="H79" s="16">
        <v>0</v>
      </c>
      <c r="I79" s="10" t="s">
        <v>302</v>
      </c>
      <c r="J79" s="10" t="s">
        <v>303</v>
      </c>
      <c r="K79" s="10" t="s">
        <v>245</v>
      </c>
      <c r="L79" s="10" t="s">
        <v>548</v>
      </c>
      <c r="M79" s="21" t="s">
        <v>549</v>
      </c>
    </row>
    <row r="80" ht="14" spans="1:13">
      <c r="A80" s="9">
        <v>74</v>
      </c>
      <c r="B80" s="10" t="s">
        <v>380</v>
      </c>
      <c r="C80" s="10" t="s">
        <v>550</v>
      </c>
      <c r="D80" s="10" t="s">
        <v>380</v>
      </c>
      <c r="E80" s="10" t="s">
        <v>534</v>
      </c>
      <c r="F80" s="10" t="s">
        <v>551</v>
      </c>
      <c r="G80" s="15">
        <v>46244.5</v>
      </c>
      <c r="H80" s="16">
        <v>0</v>
      </c>
      <c r="I80" s="10" t="s">
        <v>302</v>
      </c>
      <c r="J80" s="10" t="s">
        <v>303</v>
      </c>
      <c r="K80" s="10" t="s">
        <v>245</v>
      </c>
      <c r="L80" s="10" t="s">
        <v>552</v>
      </c>
      <c r="M80" s="21"/>
    </row>
    <row r="81" ht="28.35" spans="1:13">
      <c r="A81" s="9">
        <v>75</v>
      </c>
      <c r="B81" s="10" t="s">
        <v>380</v>
      </c>
      <c r="C81" s="10" t="s">
        <v>553</v>
      </c>
      <c r="D81" s="10" t="s">
        <v>380</v>
      </c>
      <c r="E81" s="10" t="s">
        <v>554</v>
      </c>
      <c r="F81" s="10" t="s">
        <v>555</v>
      </c>
      <c r="G81" s="15">
        <v>46248.5</v>
      </c>
      <c r="H81" s="16">
        <v>0</v>
      </c>
      <c r="I81" s="10" t="s">
        <v>302</v>
      </c>
      <c r="J81" s="10" t="s">
        <v>303</v>
      </c>
      <c r="K81" s="10" t="s">
        <v>245</v>
      </c>
      <c r="L81" s="10" t="s">
        <v>556</v>
      </c>
      <c r="M81" s="21" t="s">
        <v>557</v>
      </c>
    </row>
    <row r="82" ht="14" spans="1:13">
      <c r="A82" s="9">
        <v>76</v>
      </c>
      <c r="B82" s="10" t="s">
        <v>380</v>
      </c>
      <c r="C82" s="10" t="s">
        <v>558</v>
      </c>
      <c r="D82" s="10" t="s">
        <v>380</v>
      </c>
      <c r="E82" s="10" t="s">
        <v>559</v>
      </c>
      <c r="F82" s="10" t="s">
        <v>560</v>
      </c>
      <c r="G82" s="15">
        <v>46242.5</v>
      </c>
      <c r="H82" s="16">
        <v>0</v>
      </c>
      <c r="I82" s="10" t="s">
        <v>302</v>
      </c>
      <c r="J82" s="10" t="s">
        <v>303</v>
      </c>
      <c r="K82" s="10" t="s">
        <v>245</v>
      </c>
      <c r="L82" s="10" t="s">
        <v>561</v>
      </c>
      <c r="M82" s="21"/>
    </row>
    <row r="83" ht="28.35" spans="1:13">
      <c r="A83" s="9">
        <v>77</v>
      </c>
      <c r="B83" s="10" t="s">
        <v>380</v>
      </c>
      <c r="C83" s="10" t="s">
        <v>562</v>
      </c>
      <c r="D83" s="10" t="s">
        <v>380</v>
      </c>
      <c r="E83" s="10" t="s">
        <v>563</v>
      </c>
      <c r="F83" s="10" t="s">
        <v>564</v>
      </c>
      <c r="G83" s="15">
        <v>46250.5</v>
      </c>
      <c r="H83" s="16">
        <v>0</v>
      </c>
      <c r="I83" s="10" t="s">
        <v>302</v>
      </c>
      <c r="J83" s="10" t="s">
        <v>377</v>
      </c>
      <c r="K83" s="10" t="s">
        <v>245</v>
      </c>
      <c r="L83" s="10" t="s">
        <v>565</v>
      </c>
      <c r="M83" s="21" t="s">
        <v>566</v>
      </c>
    </row>
    <row r="84" ht="14" spans="1:13">
      <c r="A84" s="9">
        <v>78</v>
      </c>
      <c r="B84" s="10" t="s">
        <v>380</v>
      </c>
      <c r="C84" s="11" t="s">
        <v>329</v>
      </c>
      <c r="D84" s="11" t="s">
        <v>245</v>
      </c>
      <c r="E84" s="11" t="s">
        <v>245</v>
      </c>
      <c r="F84" s="11" t="s">
        <v>245</v>
      </c>
      <c r="G84" s="17"/>
      <c r="H84" s="18">
        <v>0</v>
      </c>
      <c r="I84" s="11" t="s">
        <v>302</v>
      </c>
      <c r="J84" s="11" t="s">
        <v>245</v>
      </c>
      <c r="K84" s="11" t="s">
        <v>245</v>
      </c>
      <c r="L84" s="11" t="s">
        <v>245</v>
      </c>
      <c r="M84" s="22"/>
    </row>
    <row r="85" ht="14" spans="1:13">
      <c r="A85" s="9">
        <v>79</v>
      </c>
      <c r="B85" s="10" t="s">
        <v>380</v>
      </c>
      <c r="C85" s="11" t="s">
        <v>329</v>
      </c>
      <c r="D85" s="11" t="s">
        <v>245</v>
      </c>
      <c r="E85" s="11" t="s">
        <v>245</v>
      </c>
      <c r="F85" s="11" t="s">
        <v>245</v>
      </c>
      <c r="G85" s="17"/>
      <c r="H85" s="18">
        <v>0</v>
      </c>
      <c r="I85" s="11" t="s">
        <v>302</v>
      </c>
      <c r="J85" s="11" t="s">
        <v>245</v>
      </c>
      <c r="K85" s="11" t="s">
        <v>245</v>
      </c>
      <c r="L85" s="11" t="s">
        <v>245</v>
      </c>
      <c r="M85" s="22"/>
    </row>
    <row r="86" ht="14" spans="1:13">
      <c r="A86" s="9">
        <v>80</v>
      </c>
      <c r="B86" s="10" t="s">
        <v>567</v>
      </c>
      <c r="C86" s="10" t="s">
        <v>568</v>
      </c>
      <c r="D86" s="10" t="s">
        <v>569</v>
      </c>
      <c r="E86" s="10" t="s">
        <v>516</v>
      </c>
      <c r="F86" s="10" t="s">
        <v>570</v>
      </c>
      <c r="G86" s="15">
        <v>46227.5</v>
      </c>
      <c r="H86" s="16">
        <v>0</v>
      </c>
      <c r="I86" s="10" t="s">
        <v>302</v>
      </c>
      <c r="J86" s="10" t="s">
        <v>303</v>
      </c>
      <c r="K86" s="10" t="s">
        <v>245</v>
      </c>
      <c r="L86" s="10" t="s">
        <v>571</v>
      </c>
      <c r="M86" s="21"/>
    </row>
    <row r="87" ht="28.35" spans="1:13">
      <c r="A87" s="9">
        <v>81</v>
      </c>
      <c r="B87" s="10" t="s">
        <v>567</v>
      </c>
      <c r="C87" s="10" t="s">
        <v>572</v>
      </c>
      <c r="D87" s="10" t="s">
        <v>567</v>
      </c>
      <c r="E87" s="10" t="s">
        <v>573</v>
      </c>
      <c r="F87" s="10" t="s">
        <v>574</v>
      </c>
      <c r="G87" s="15">
        <v>46244.5</v>
      </c>
      <c r="H87" s="16">
        <v>0</v>
      </c>
      <c r="I87" s="10" t="s">
        <v>302</v>
      </c>
      <c r="J87" s="10" t="s">
        <v>303</v>
      </c>
      <c r="K87" s="10" t="s">
        <v>245</v>
      </c>
      <c r="L87" s="10" t="s">
        <v>575</v>
      </c>
      <c r="M87" s="21" t="s">
        <v>576</v>
      </c>
    </row>
    <row r="88" ht="14" spans="1:13">
      <c r="A88" s="9">
        <v>82</v>
      </c>
      <c r="B88" s="10" t="s">
        <v>567</v>
      </c>
      <c r="C88" s="10" t="s">
        <v>577</v>
      </c>
      <c r="D88" s="10" t="s">
        <v>567</v>
      </c>
      <c r="E88" s="10" t="s">
        <v>516</v>
      </c>
      <c r="F88" s="10" t="s">
        <v>578</v>
      </c>
      <c r="G88" s="15">
        <v>46244.5</v>
      </c>
      <c r="H88" s="16">
        <v>0</v>
      </c>
      <c r="I88" s="10" t="s">
        <v>302</v>
      </c>
      <c r="J88" s="10" t="s">
        <v>377</v>
      </c>
      <c r="K88" s="10" t="s">
        <v>245</v>
      </c>
      <c r="L88" s="10" t="s">
        <v>579</v>
      </c>
      <c r="M88" s="21"/>
    </row>
    <row r="89" ht="14" spans="1:13">
      <c r="A89" s="9">
        <v>83</v>
      </c>
      <c r="B89" s="10" t="s">
        <v>567</v>
      </c>
      <c r="C89" s="10" t="s">
        <v>580</v>
      </c>
      <c r="D89" s="10" t="s">
        <v>567</v>
      </c>
      <c r="E89" s="10" t="s">
        <v>407</v>
      </c>
      <c r="F89" s="10" t="s">
        <v>581</v>
      </c>
      <c r="G89" s="15">
        <v>46242.5</v>
      </c>
      <c r="H89" s="16">
        <v>0</v>
      </c>
      <c r="I89" s="10" t="s">
        <v>302</v>
      </c>
      <c r="J89" s="10" t="s">
        <v>303</v>
      </c>
      <c r="K89" s="10" t="s">
        <v>245</v>
      </c>
      <c r="L89" s="10" t="s">
        <v>582</v>
      </c>
      <c r="M89" s="21"/>
    </row>
    <row r="90" ht="14" spans="1:13">
      <c r="A90" s="9">
        <v>84</v>
      </c>
      <c r="B90" s="10" t="s">
        <v>567</v>
      </c>
      <c r="C90" s="10" t="s">
        <v>583</v>
      </c>
      <c r="D90" s="10" t="s">
        <v>567</v>
      </c>
      <c r="E90" s="10" t="s">
        <v>584</v>
      </c>
      <c r="F90" s="10" t="s">
        <v>585</v>
      </c>
      <c r="G90" s="15">
        <v>46246.5</v>
      </c>
      <c r="H90" s="16">
        <v>0</v>
      </c>
      <c r="I90" s="10" t="s">
        <v>302</v>
      </c>
      <c r="J90" s="10" t="s">
        <v>377</v>
      </c>
      <c r="K90" s="10" t="s">
        <v>245</v>
      </c>
      <c r="L90" s="10" t="s">
        <v>586</v>
      </c>
      <c r="M90" s="21"/>
    </row>
    <row r="91" ht="14" spans="1:13">
      <c r="A91" s="9">
        <v>85</v>
      </c>
      <c r="B91" s="10" t="s">
        <v>567</v>
      </c>
      <c r="C91" s="10" t="s">
        <v>587</v>
      </c>
      <c r="D91" s="10" t="s">
        <v>567</v>
      </c>
      <c r="E91" s="10" t="s">
        <v>588</v>
      </c>
      <c r="F91" s="10" t="s">
        <v>589</v>
      </c>
      <c r="G91" s="15">
        <v>46242.5</v>
      </c>
      <c r="H91" s="16">
        <v>0</v>
      </c>
      <c r="I91" s="10" t="s">
        <v>302</v>
      </c>
      <c r="J91" s="10" t="s">
        <v>590</v>
      </c>
      <c r="K91" s="10" t="s">
        <v>245</v>
      </c>
      <c r="L91" s="10" t="s">
        <v>591</v>
      </c>
      <c r="M91" s="21"/>
    </row>
    <row r="92" ht="14" spans="1:13">
      <c r="A92" s="9">
        <v>86</v>
      </c>
      <c r="B92" s="10" t="s">
        <v>567</v>
      </c>
      <c r="C92" s="10" t="s">
        <v>592</v>
      </c>
      <c r="D92" s="10" t="s">
        <v>567</v>
      </c>
      <c r="E92" s="10" t="s">
        <v>593</v>
      </c>
      <c r="F92" s="10" t="s">
        <v>594</v>
      </c>
      <c r="G92" s="15">
        <v>46244.5</v>
      </c>
      <c r="H92" s="16">
        <v>0</v>
      </c>
      <c r="I92" s="10" t="s">
        <v>302</v>
      </c>
      <c r="J92" s="10" t="s">
        <v>377</v>
      </c>
      <c r="K92" s="10" t="s">
        <v>245</v>
      </c>
      <c r="L92" s="10" t="s">
        <v>595</v>
      </c>
      <c r="M92" s="21"/>
    </row>
    <row r="93" ht="14" spans="1:13">
      <c r="A93" s="9">
        <v>87</v>
      </c>
      <c r="B93" s="10" t="s">
        <v>567</v>
      </c>
      <c r="C93" s="11" t="s">
        <v>329</v>
      </c>
      <c r="D93" s="11" t="s">
        <v>245</v>
      </c>
      <c r="E93" s="11" t="s">
        <v>245</v>
      </c>
      <c r="F93" s="11" t="s">
        <v>245</v>
      </c>
      <c r="G93" s="17"/>
      <c r="H93" s="18">
        <v>0</v>
      </c>
      <c r="I93" s="11" t="s">
        <v>302</v>
      </c>
      <c r="J93" s="11" t="s">
        <v>245</v>
      </c>
      <c r="K93" s="11" t="s">
        <v>245</v>
      </c>
      <c r="L93" s="11" t="s">
        <v>245</v>
      </c>
      <c r="M93" s="22"/>
    </row>
    <row r="94" ht="14" spans="1:13">
      <c r="A94" s="9">
        <v>88</v>
      </c>
      <c r="B94" s="10" t="s">
        <v>567</v>
      </c>
      <c r="C94" s="11" t="s">
        <v>329</v>
      </c>
      <c r="D94" s="11" t="s">
        <v>245</v>
      </c>
      <c r="E94" s="11" t="s">
        <v>245</v>
      </c>
      <c r="F94" s="11" t="s">
        <v>245</v>
      </c>
      <c r="G94" s="17"/>
      <c r="H94" s="18">
        <v>0</v>
      </c>
      <c r="I94" s="11" t="s">
        <v>302</v>
      </c>
      <c r="J94" s="11" t="s">
        <v>245</v>
      </c>
      <c r="K94" s="11" t="s">
        <v>245</v>
      </c>
      <c r="L94" s="11" t="s">
        <v>245</v>
      </c>
      <c r="M94" s="22"/>
    </row>
    <row r="95" ht="14" spans="1:13">
      <c r="A95" s="9">
        <v>89</v>
      </c>
      <c r="B95" s="10" t="s">
        <v>593</v>
      </c>
      <c r="C95" s="10" t="s">
        <v>596</v>
      </c>
      <c r="D95" s="10" t="s">
        <v>597</v>
      </c>
      <c r="E95" s="10" t="s">
        <v>326</v>
      </c>
      <c r="F95" s="10" t="s">
        <v>598</v>
      </c>
      <c r="G95" s="15">
        <v>46224.5</v>
      </c>
      <c r="H95" s="16">
        <v>0</v>
      </c>
      <c r="I95" s="10" t="s">
        <v>302</v>
      </c>
      <c r="J95" s="10" t="s">
        <v>303</v>
      </c>
      <c r="K95" s="10" t="s">
        <v>245</v>
      </c>
      <c r="L95" s="10" t="s">
        <v>599</v>
      </c>
      <c r="M95" s="21"/>
    </row>
    <row r="96" ht="14" spans="1:13">
      <c r="A96" s="9">
        <v>90</v>
      </c>
      <c r="B96" s="10" t="s">
        <v>593</v>
      </c>
      <c r="C96" s="10" t="s">
        <v>600</v>
      </c>
      <c r="D96" s="10" t="s">
        <v>593</v>
      </c>
      <c r="E96" s="10" t="s">
        <v>601</v>
      </c>
      <c r="F96" s="10" t="s">
        <v>602</v>
      </c>
      <c r="G96" s="15">
        <v>46225.5</v>
      </c>
      <c r="H96" s="16">
        <v>0</v>
      </c>
      <c r="I96" s="10" t="s">
        <v>302</v>
      </c>
      <c r="J96" s="10" t="s">
        <v>303</v>
      </c>
      <c r="K96" s="10" t="s">
        <v>245</v>
      </c>
      <c r="L96" s="10" t="s">
        <v>603</v>
      </c>
      <c r="M96" s="21"/>
    </row>
    <row r="97" ht="14" spans="1:13">
      <c r="A97" s="9">
        <v>91</v>
      </c>
      <c r="B97" s="10" t="s">
        <v>593</v>
      </c>
      <c r="C97" s="10" t="s">
        <v>604</v>
      </c>
      <c r="D97" s="10" t="s">
        <v>593</v>
      </c>
      <c r="E97" s="10" t="s">
        <v>605</v>
      </c>
      <c r="F97" s="10" t="s">
        <v>606</v>
      </c>
      <c r="G97" s="15">
        <v>46225.5</v>
      </c>
      <c r="H97" s="16">
        <v>0</v>
      </c>
      <c r="I97" s="10" t="s">
        <v>302</v>
      </c>
      <c r="J97" s="10" t="s">
        <v>303</v>
      </c>
      <c r="K97" s="10" t="s">
        <v>245</v>
      </c>
      <c r="L97" s="10" t="s">
        <v>607</v>
      </c>
      <c r="M97" s="21"/>
    </row>
    <row r="98" ht="14" spans="1:13">
      <c r="A98" s="9">
        <v>92</v>
      </c>
      <c r="B98" s="10" t="s">
        <v>593</v>
      </c>
      <c r="C98" s="10" t="s">
        <v>608</v>
      </c>
      <c r="D98" s="10" t="s">
        <v>593</v>
      </c>
      <c r="E98" s="10" t="s">
        <v>214</v>
      </c>
      <c r="F98" s="10" t="s">
        <v>609</v>
      </c>
      <c r="G98" s="15">
        <v>46227.5</v>
      </c>
      <c r="H98" s="16">
        <v>0</v>
      </c>
      <c r="I98" s="10" t="s">
        <v>302</v>
      </c>
      <c r="J98" s="10" t="s">
        <v>303</v>
      </c>
      <c r="K98" s="10" t="s">
        <v>245</v>
      </c>
      <c r="L98" s="10" t="s">
        <v>610</v>
      </c>
      <c r="M98" s="21"/>
    </row>
    <row r="99" ht="14" spans="1:13">
      <c r="A99" s="9">
        <v>93</v>
      </c>
      <c r="B99" s="10" t="s">
        <v>593</v>
      </c>
      <c r="C99" s="10" t="s">
        <v>611</v>
      </c>
      <c r="D99" s="10" t="s">
        <v>593</v>
      </c>
      <c r="E99" s="10" t="s">
        <v>371</v>
      </c>
      <c r="F99" s="10" t="s">
        <v>612</v>
      </c>
      <c r="G99" s="15">
        <v>46227.5</v>
      </c>
      <c r="H99" s="16">
        <v>0</v>
      </c>
      <c r="I99" s="10" t="s">
        <v>302</v>
      </c>
      <c r="J99" s="10" t="s">
        <v>303</v>
      </c>
      <c r="K99" s="10" t="s">
        <v>245</v>
      </c>
      <c r="L99" s="10" t="s">
        <v>613</v>
      </c>
      <c r="M99" s="21"/>
    </row>
    <row r="100" ht="14" spans="1:13">
      <c r="A100" s="9">
        <v>94</v>
      </c>
      <c r="B100" s="10" t="s">
        <v>593</v>
      </c>
      <c r="C100" s="10" t="s">
        <v>614</v>
      </c>
      <c r="D100" s="10" t="s">
        <v>593</v>
      </c>
      <c r="E100" s="10" t="s">
        <v>340</v>
      </c>
      <c r="F100" s="10" t="s">
        <v>615</v>
      </c>
      <c r="G100" s="15">
        <v>46225.5</v>
      </c>
      <c r="H100" s="16">
        <v>0</v>
      </c>
      <c r="I100" s="10" t="s">
        <v>302</v>
      </c>
      <c r="J100" s="10" t="s">
        <v>377</v>
      </c>
      <c r="K100" s="10" t="s">
        <v>245</v>
      </c>
      <c r="L100" s="10" t="s">
        <v>616</v>
      </c>
      <c r="M100" s="21"/>
    </row>
    <row r="101" ht="14" spans="1:13">
      <c r="A101" s="9">
        <v>95</v>
      </c>
      <c r="B101" s="10" t="s">
        <v>593</v>
      </c>
      <c r="C101" s="10" t="s">
        <v>617</v>
      </c>
      <c r="D101" s="10" t="s">
        <v>593</v>
      </c>
      <c r="E101" s="10" t="s">
        <v>618</v>
      </c>
      <c r="F101" s="10" t="s">
        <v>619</v>
      </c>
      <c r="G101" s="15">
        <v>46228.5</v>
      </c>
      <c r="H101" s="16">
        <v>0</v>
      </c>
      <c r="I101" s="10" t="s">
        <v>302</v>
      </c>
      <c r="J101" s="10" t="s">
        <v>377</v>
      </c>
      <c r="K101" s="10" t="s">
        <v>245</v>
      </c>
      <c r="L101" s="10" t="s">
        <v>620</v>
      </c>
      <c r="M101" s="21"/>
    </row>
    <row r="102" ht="14" spans="1:13">
      <c r="A102" s="9">
        <v>96</v>
      </c>
      <c r="B102" s="10" t="s">
        <v>593</v>
      </c>
      <c r="C102" s="10" t="s">
        <v>621</v>
      </c>
      <c r="D102" s="10" t="s">
        <v>593</v>
      </c>
      <c r="E102" s="10" t="s">
        <v>326</v>
      </c>
      <c r="F102" s="10" t="s">
        <v>622</v>
      </c>
      <c r="G102" s="15">
        <v>46263.5</v>
      </c>
      <c r="H102" s="16">
        <v>0</v>
      </c>
      <c r="I102" s="10" t="s">
        <v>302</v>
      </c>
      <c r="J102" s="10" t="s">
        <v>377</v>
      </c>
      <c r="K102" s="10" t="s">
        <v>245</v>
      </c>
      <c r="L102" s="10" t="s">
        <v>623</v>
      </c>
      <c r="M102" s="21" t="s">
        <v>624</v>
      </c>
    </row>
    <row r="103" ht="14" spans="1:13">
      <c r="A103" s="9">
        <v>97</v>
      </c>
      <c r="B103" s="10" t="s">
        <v>593</v>
      </c>
      <c r="C103" s="11" t="s">
        <v>329</v>
      </c>
      <c r="D103" s="11" t="s">
        <v>245</v>
      </c>
      <c r="E103" s="11" t="s">
        <v>245</v>
      </c>
      <c r="F103" s="11" t="s">
        <v>245</v>
      </c>
      <c r="G103" s="17"/>
      <c r="H103" s="18">
        <v>0</v>
      </c>
      <c r="I103" s="11" t="s">
        <v>302</v>
      </c>
      <c r="J103" s="11" t="s">
        <v>245</v>
      </c>
      <c r="K103" s="11" t="s">
        <v>245</v>
      </c>
      <c r="L103" s="11" t="s">
        <v>245</v>
      </c>
      <c r="M103" s="22"/>
    </row>
    <row r="104" ht="14" spans="1:13">
      <c r="A104" s="9">
        <v>98</v>
      </c>
      <c r="B104" s="10" t="s">
        <v>593</v>
      </c>
      <c r="C104" s="11" t="s">
        <v>329</v>
      </c>
      <c r="D104" s="11" t="s">
        <v>245</v>
      </c>
      <c r="E104" s="11" t="s">
        <v>245</v>
      </c>
      <c r="F104" s="11" t="s">
        <v>245</v>
      </c>
      <c r="G104" s="17"/>
      <c r="H104" s="18">
        <v>0</v>
      </c>
      <c r="I104" s="11" t="s">
        <v>302</v>
      </c>
      <c r="J104" s="11" t="s">
        <v>245</v>
      </c>
      <c r="K104" s="11" t="s">
        <v>245</v>
      </c>
      <c r="L104" s="11" t="s">
        <v>245</v>
      </c>
      <c r="M104" s="22"/>
    </row>
    <row r="105" ht="14" spans="1:13">
      <c r="A105" s="9">
        <v>99</v>
      </c>
      <c r="B105" s="10" t="s">
        <v>625</v>
      </c>
      <c r="C105" s="10" t="s">
        <v>626</v>
      </c>
      <c r="D105" s="10" t="s">
        <v>627</v>
      </c>
      <c r="E105" s="10" t="s">
        <v>628</v>
      </c>
      <c r="F105" s="10" t="s">
        <v>629</v>
      </c>
      <c r="G105" s="15">
        <v>46251.5</v>
      </c>
      <c r="H105" s="16">
        <v>0</v>
      </c>
      <c r="I105" s="10" t="s">
        <v>302</v>
      </c>
      <c r="J105" s="10" t="s">
        <v>303</v>
      </c>
      <c r="K105" s="10" t="s">
        <v>245</v>
      </c>
      <c r="L105" s="10" t="s">
        <v>630</v>
      </c>
      <c r="M105" s="21"/>
    </row>
    <row r="106" ht="28.35" spans="1:13">
      <c r="A106" s="9">
        <v>100</v>
      </c>
      <c r="B106" s="10" t="s">
        <v>625</v>
      </c>
      <c r="C106" s="10" t="s">
        <v>631</v>
      </c>
      <c r="D106" s="10" t="s">
        <v>625</v>
      </c>
      <c r="E106" s="10" t="s">
        <v>632</v>
      </c>
      <c r="F106" s="10" t="s">
        <v>633</v>
      </c>
      <c r="G106" s="15">
        <v>46251.5</v>
      </c>
      <c r="H106" s="16">
        <v>0</v>
      </c>
      <c r="I106" s="10" t="s">
        <v>302</v>
      </c>
      <c r="J106" s="10" t="s">
        <v>303</v>
      </c>
      <c r="K106" s="10" t="s">
        <v>245</v>
      </c>
      <c r="L106" s="10" t="s">
        <v>634</v>
      </c>
      <c r="M106" s="21" t="s">
        <v>635</v>
      </c>
    </row>
    <row r="107" ht="14" spans="1:13">
      <c r="A107" s="9">
        <v>101</v>
      </c>
      <c r="B107" s="10" t="s">
        <v>625</v>
      </c>
      <c r="C107" s="10" t="s">
        <v>636</v>
      </c>
      <c r="D107" s="10" t="s">
        <v>625</v>
      </c>
      <c r="E107" s="10" t="s">
        <v>371</v>
      </c>
      <c r="F107" s="10" t="s">
        <v>637</v>
      </c>
      <c r="G107" s="15">
        <v>46256.5</v>
      </c>
      <c r="H107" s="16">
        <v>0</v>
      </c>
      <c r="I107" s="10" t="s">
        <v>302</v>
      </c>
      <c r="J107" s="10" t="s">
        <v>303</v>
      </c>
      <c r="K107" s="10" t="s">
        <v>245</v>
      </c>
      <c r="L107" s="10" t="s">
        <v>638</v>
      </c>
      <c r="M107" s="21" t="s">
        <v>639</v>
      </c>
    </row>
    <row r="108" ht="14" spans="1:13">
      <c r="A108" s="9">
        <v>102</v>
      </c>
      <c r="B108" s="10" t="s">
        <v>625</v>
      </c>
      <c r="C108" s="10" t="s">
        <v>640</v>
      </c>
      <c r="D108" s="10" t="s">
        <v>625</v>
      </c>
      <c r="E108" s="10" t="s">
        <v>440</v>
      </c>
      <c r="F108" s="10" t="s">
        <v>641</v>
      </c>
      <c r="G108" s="15">
        <v>46250.5</v>
      </c>
      <c r="H108" s="16">
        <v>0</v>
      </c>
      <c r="I108" s="10" t="s">
        <v>302</v>
      </c>
      <c r="J108" s="10" t="s">
        <v>377</v>
      </c>
      <c r="K108" s="10" t="s">
        <v>245</v>
      </c>
      <c r="L108" s="10" t="s">
        <v>642</v>
      </c>
      <c r="M108" s="21"/>
    </row>
    <row r="109" ht="28.35" spans="1:13">
      <c r="A109" s="9">
        <v>103</v>
      </c>
      <c r="B109" s="10" t="s">
        <v>625</v>
      </c>
      <c r="C109" s="10" t="s">
        <v>643</v>
      </c>
      <c r="D109" s="10" t="s">
        <v>625</v>
      </c>
      <c r="E109" s="10" t="s">
        <v>644</v>
      </c>
      <c r="F109" s="10" t="s">
        <v>645</v>
      </c>
      <c r="G109" s="15">
        <v>46263.5</v>
      </c>
      <c r="H109" s="16">
        <v>0</v>
      </c>
      <c r="I109" s="10" t="s">
        <v>302</v>
      </c>
      <c r="J109" s="10" t="s">
        <v>303</v>
      </c>
      <c r="K109" s="10" t="s">
        <v>245</v>
      </c>
      <c r="L109" s="10" t="s">
        <v>646</v>
      </c>
      <c r="M109" s="21" t="s">
        <v>647</v>
      </c>
    </row>
    <row r="110" ht="14" spans="1:13">
      <c r="A110" s="9">
        <v>104</v>
      </c>
      <c r="B110" s="10" t="s">
        <v>625</v>
      </c>
      <c r="C110" s="10" t="s">
        <v>648</v>
      </c>
      <c r="D110" s="10" t="s">
        <v>625</v>
      </c>
      <c r="E110" s="10" t="s">
        <v>649</v>
      </c>
      <c r="F110" s="10" t="s">
        <v>650</v>
      </c>
      <c r="G110" s="15">
        <v>46256.5</v>
      </c>
      <c r="H110" s="16">
        <v>0</v>
      </c>
      <c r="I110" s="10" t="s">
        <v>302</v>
      </c>
      <c r="J110" s="10" t="s">
        <v>303</v>
      </c>
      <c r="K110" s="10" t="s">
        <v>245</v>
      </c>
      <c r="L110" s="10" t="s">
        <v>651</v>
      </c>
      <c r="M110" s="21"/>
    </row>
    <row r="111" ht="28.35" spans="1:13">
      <c r="A111" s="9">
        <v>105</v>
      </c>
      <c r="B111" s="10" t="s">
        <v>625</v>
      </c>
      <c r="C111" s="10" t="s">
        <v>652</v>
      </c>
      <c r="D111" s="10" t="s">
        <v>625</v>
      </c>
      <c r="E111" s="10" t="s">
        <v>653</v>
      </c>
      <c r="F111" s="10" t="s">
        <v>654</v>
      </c>
      <c r="G111" s="15">
        <v>46263.5</v>
      </c>
      <c r="H111" s="16">
        <v>0</v>
      </c>
      <c r="I111" s="10" t="s">
        <v>302</v>
      </c>
      <c r="J111" s="10" t="s">
        <v>377</v>
      </c>
      <c r="K111" s="10" t="s">
        <v>245</v>
      </c>
      <c r="L111" s="10" t="s">
        <v>655</v>
      </c>
      <c r="M111" s="21" t="s">
        <v>656</v>
      </c>
    </row>
    <row r="112" ht="28.35" spans="1:13">
      <c r="A112" s="9">
        <v>106</v>
      </c>
      <c r="B112" s="10" t="s">
        <v>625</v>
      </c>
      <c r="C112" s="10" t="s">
        <v>657</v>
      </c>
      <c r="D112" s="10" t="s">
        <v>625</v>
      </c>
      <c r="E112" s="10" t="s">
        <v>658</v>
      </c>
      <c r="F112" s="10" t="s">
        <v>659</v>
      </c>
      <c r="G112" s="15">
        <v>46349.5</v>
      </c>
      <c r="H112" s="16">
        <v>0</v>
      </c>
      <c r="I112" s="10" t="s">
        <v>302</v>
      </c>
      <c r="J112" s="10" t="s">
        <v>377</v>
      </c>
      <c r="K112" s="10" t="s">
        <v>245</v>
      </c>
      <c r="L112" s="10" t="s">
        <v>660</v>
      </c>
      <c r="M112" s="21" t="s">
        <v>661</v>
      </c>
    </row>
    <row r="113" ht="28.35" spans="1:13">
      <c r="A113" s="9">
        <v>107</v>
      </c>
      <c r="B113" s="10" t="s">
        <v>625</v>
      </c>
      <c r="C113" s="10" t="s">
        <v>662</v>
      </c>
      <c r="D113" s="10" t="s">
        <v>625</v>
      </c>
      <c r="E113" s="10" t="s">
        <v>663</v>
      </c>
      <c r="F113" s="10" t="s">
        <v>664</v>
      </c>
      <c r="G113" s="15">
        <v>46279.5</v>
      </c>
      <c r="H113" s="16">
        <v>0</v>
      </c>
      <c r="I113" s="10" t="s">
        <v>302</v>
      </c>
      <c r="J113" s="10" t="s">
        <v>377</v>
      </c>
      <c r="K113" s="10" t="s">
        <v>245</v>
      </c>
      <c r="L113" s="10" t="s">
        <v>665</v>
      </c>
      <c r="M113" s="21" t="s">
        <v>666</v>
      </c>
    </row>
    <row r="114" ht="14" spans="1:13">
      <c r="A114" s="9">
        <v>108</v>
      </c>
      <c r="B114" s="10" t="s">
        <v>625</v>
      </c>
      <c r="C114" s="11" t="s">
        <v>329</v>
      </c>
      <c r="D114" s="11" t="s">
        <v>245</v>
      </c>
      <c r="E114" s="11" t="s">
        <v>245</v>
      </c>
      <c r="F114" s="11" t="s">
        <v>245</v>
      </c>
      <c r="G114" s="17"/>
      <c r="H114" s="18">
        <v>0</v>
      </c>
      <c r="I114" s="11" t="s">
        <v>302</v>
      </c>
      <c r="J114" s="11" t="s">
        <v>245</v>
      </c>
      <c r="K114" s="11" t="s">
        <v>245</v>
      </c>
      <c r="L114" s="11" t="s">
        <v>245</v>
      </c>
      <c r="M114" s="22"/>
    </row>
    <row r="115" ht="14" spans="1:13">
      <c r="A115" s="9">
        <v>109</v>
      </c>
      <c r="B115" s="10" t="s">
        <v>625</v>
      </c>
      <c r="C115" s="11" t="s">
        <v>329</v>
      </c>
      <c r="D115" s="11" t="s">
        <v>245</v>
      </c>
      <c r="E115" s="11" t="s">
        <v>245</v>
      </c>
      <c r="F115" s="11" t="s">
        <v>245</v>
      </c>
      <c r="G115" s="17"/>
      <c r="H115" s="18">
        <v>0</v>
      </c>
      <c r="I115" s="11" t="s">
        <v>302</v>
      </c>
      <c r="J115" s="11" t="s">
        <v>245</v>
      </c>
      <c r="K115" s="11" t="s">
        <v>245</v>
      </c>
      <c r="L115" s="11" t="s">
        <v>245</v>
      </c>
      <c r="M115" s="22"/>
    </row>
  </sheetData>
  <mergeCells count="4">
    <mergeCell ref="A1:M1"/>
    <mergeCell ref="A2:M2"/>
    <mergeCell ref="I4:M4"/>
    <mergeCell ref="A5:M5"/>
  </mergeCells>
  <conditionalFormatting sqref="G7:G115">
    <cfRule type="expression" dxfId="5" priority="9">
      <formula>AND($G7&lt;TODAY(),$G7&lt;&gt;"",$I7&lt;&gt;"已完成",$C7&lt;&gt;"补充任务（空白）")</formula>
    </cfRule>
    <cfRule type="expression" dxfId="6" priority="10">
      <formula>AND($G7&gt;=TODAY(),$G7&lt;=TODAY()+3,$I7&lt;&gt;"已完成",$C7&lt;&gt;"补充任务（空白）")</formula>
    </cfRule>
  </conditionalFormatting>
  <conditionalFormatting sqref="H7:H180">
    <cfRule type="dataBar" priority="6">
      <dataBar>
        <cfvo type="min"/>
        <cfvo type="max"/>
        <color rgb="FF2E74B5"/>
      </dataBar>
      <extLst>
        <ext xmlns:x14="http://schemas.microsoft.com/office/spreadsheetml/2009/9/main" uri="{B025F937-C7B1-47D3-B67F-A62EFF666E3E}">
          <x14:id>{872662A4-E283-1AA9-B39C-5D6A68ADF2E9}</x14:id>
        </ext>
      </extLst>
    </cfRule>
  </conditionalFormatting>
  <conditionalFormatting sqref="I7:I180">
    <cfRule type="containsText" dxfId="7" priority="1" operator="between" text="已完成">
      <formula>NOT(ISERROR(SEARCH("已完成",I7)))</formula>
    </cfRule>
    <cfRule type="containsText" dxfId="8" priority="2" operator="between" text="进行中">
      <formula>NOT(ISERROR(SEARCH("进行中",I7)))</formula>
    </cfRule>
    <cfRule type="containsText" dxfId="9" priority="3" operator="between" text="待确认">
      <formula>NOT(ISERROR(SEARCH("待确认",I7)))</formula>
    </cfRule>
    <cfRule type="containsText" dxfId="10" priority="4" operator="between" text="未开始">
      <formula>NOT(ISERROR(SEARCH("未开始",I7)))</formula>
    </cfRule>
    <cfRule type="containsText" dxfId="11" priority="5" operator="between" text="阻塞">
      <formula>NOT(ISERROR(SEARCH("阻塞",I7)))</formula>
    </cfRule>
  </conditionalFormatting>
  <conditionalFormatting sqref="J7:J180">
    <cfRule type="containsText" dxfId="12" priority="7" operator="between" text="P0">
      <formula>NOT(ISERROR(SEARCH("P0",J7)))</formula>
    </cfRule>
    <cfRule type="containsText" dxfId="13" priority="8" operator="between" text="P1">
      <formula>NOT(ISERROR(SEARCH("P1",J7)))</formula>
    </cfRule>
  </conditionalFormatting>
  <dataValidations count="3">
    <dataValidation type="list" sqref="I7:I180">
      <formula1>"未开始,进行中,待确认,阻塞,已完成"</formula1>
    </dataValidation>
    <dataValidation type="list" sqref="J7:J180">
      <formula1>"P0,P1,P2"</formula1>
    </dataValidation>
    <dataValidation type="decimal" operator="between" sqref="H7:H115">
      <formula1>0</formula1>
      <formula2>1</formula2>
    </dataValidation>
  </dataValidations>
  <pageMargins left="0.699305555555556" right="0.699305555555556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2662A4-E283-1AA9-B39C-5D6A68ADF2E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H7:H180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01会议方案</vt:lpstr>
      <vt:lpstr>02人员分组与职责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2026-07-20T03:47:36Z</dcterms:created>
  <dcterms:modified xsi:type="dcterms:W3CDTF">2026-07-20T03:57:39Z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CC7273615C401137799A5D6AFF7FE4A7_33</vt:lpwstr>
  </property>
  <property fmtid="{D5CDD505-2E9C-101B-9397-08002B2CF9AE}" pid="3" name="KSOProductBuildVer">
    <vt:lpwstr>2052-26.6.2</vt:lpwstr>
  </property>
</Properties>
</file>